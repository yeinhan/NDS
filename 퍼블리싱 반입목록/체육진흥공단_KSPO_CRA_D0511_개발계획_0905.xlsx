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요" sheetId="1" r:id="rId4"/>
    <sheet state="visible" name="WBS(전체)" sheetId="2" r:id="rId5"/>
    <sheet state="visible" name="WBS(작업용)" sheetId="3" r:id="rId6"/>
    <sheet state="visible" name="공수" sheetId="4" r:id="rId7"/>
    <sheet state="visible" name="인력관리" sheetId="5" r:id="rId8"/>
    <sheet state="visible" name="디자인문의" sheetId="6" r:id="rId9"/>
    <sheet state="visible" name="팝업화면식별요청" sheetId="7" r:id="rId10"/>
  </sheets>
  <definedNames>
    <definedName hidden="1" localSheetId="2" name="Z_91FDE5B3_7239_4E30_9BCD_BA193E0F858B_.wvu.FilterData">'WBS(작업용)'!$A$1:$AI$325</definedName>
    <definedName hidden="1" localSheetId="1" name="Z_7D01FF97_A283_413A_994E_B2A33BED5674_.wvu.FilterData">'WBS(전체)'!$A$1:$AB$327</definedName>
    <definedName hidden="1" localSheetId="2" name="Z_7D01FF97_A283_413A_994E_B2A33BED5674_.wvu.FilterData">'WBS(작업용)'!$A$1:$AI$325</definedName>
    <definedName hidden="1" localSheetId="2" name="Z_6BB689D2_B0B1_434F_8A95_88E46BA64DC1_.wvu.FilterData">'WBS(작업용)'!$A$1:$AI$325</definedName>
    <definedName hidden="1" localSheetId="2" name="Z_B245093E_39BB_4DDC_BF05_4B25DFC58274_.wvu.FilterData">'WBS(작업용)'!$A$1:$AI$325</definedName>
  </definedNames>
  <calcPr/>
  <customWorkbookViews>
    <customWorkbookView activeSheetId="0" maximized="1" windowHeight="0" windowWidth="0" guid="{91FDE5B3-7239-4E30-9BCD-BA193E0F858B}" name="한예인"/>
    <customWorkbookView activeSheetId="0" maximized="1" windowHeight="0" windowWidth="0" guid="{7D01FF97-A283-413A-994E-B2A33BED5674}" name="최수연"/>
    <customWorkbookView activeSheetId="0" maximized="1" windowHeight="0" windowWidth="0" guid="{6BB689D2-B0B1-434F-8A95-88E46BA64DC1}" name="개발일 기준 작업 목록"/>
    <customWorkbookView activeSheetId="0" maximized="1" windowHeight="0" windowWidth="0" guid="{B245093E-39BB-4DDC-BF05-4B25DFC58274}" name="이선영"/>
  </customWorkbookViews>
  <pivotCaches>
    <pivotCache cacheId="0" r:id="rId11"/>
  </pivotCaches>
  <extLst>
    <ext uri="GoogleSheetsCustomDataVersion2">
      <go:sheetsCustomData xmlns:go="http://customooxmlschemas.google.com/" r:id="rId12" roundtripDataChecksum="mwq3h+yxqdNOlQjUeuXJaF2i2WNfBNuJ6cBkJesOl4U="/>
    </ext>
  </extLst>
</workbook>
</file>

<file path=xl/sharedStrings.xml><?xml version="1.0" encoding="utf-8"?>
<sst xmlns="http://schemas.openxmlformats.org/spreadsheetml/2006/main" count="8374" uniqueCount="990">
  <si>
    <t>계약본수</t>
  </si>
  <si>
    <t>총본수</t>
  </si>
  <si>
    <t>수령본수</t>
  </si>
  <si>
    <t>작업본수</t>
  </si>
  <si>
    <t>전달본수</t>
  </si>
  <si>
    <t>삭제본수</t>
  </si>
  <si>
    <t>수정본수</t>
  </si>
  <si>
    <t>비고/확인</t>
  </si>
  <si>
    <t>순번</t>
  </si>
  <si>
    <t>팀</t>
  </si>
  <si>
    <t>업무영역</t>
  </si>
  <si>
    <t>구분</t>
  </si>
  <si>
    <t>유형</t>
  </si>
  <si>
    <t>프로그램ID</t>
  </si>
  <si>
    <t>프로그램명</t>
  </si>
  <si>
    <t>개발</t>
  </si>
  <si>
    <t>단위테스트ID</t>
  </si>
  <si>
    <t>일자</t>
  </si>
  <si>
    <t>팝업여부</t>
  </si>
  <si>
    <t>난이도</t>
  </si>
  <si>
    <t>개발차수</t>
  </si>
  <si>
    <t>범위</t>
  </si>
  <si>
    <t>추가일자</t>
  </si>
  <si>
    <t>URL</t>
  </si>
  <si>
    <t>비고</t>
  </si>
  <si>
    <t>등록취소여부</t>
  </si>
  <si>
    <t>등록취소일자</t>
  </si>
  <si>
    <t>설계서</t>
  </si>
  <si>
    <t>KEY</t>
  </si>
  <si>
    <t>진행상태</t>
  </si>
  <si>
    <t>화면설계
진행상태</t>
  </si>
  <si>
    <t>기획서</t>
  </si>
  <si>
    <t>차이</t>
  </si>
  <si>
    <t>UI/UX
기획상태</t>
  </si>
  <si>
    <t>설계서
수령일자</t>
  </si>
  <si>
    <t>기획서 
수령일자</t>
  </si>
  <si>
    <t>퍼블리싱
진행상태</t>
  </si>
  <si>
    <t>화면ID</t>
  </si>
  <si>
    <t>개발자</t>
  </si>
  <si>
    <t>계획</t>
  </si>
  <si>
    <t>실적</t>
  </si>
  <si>
    <t>시작일</t>
  </si>
  <si>
    <t>완료일</t>
  </si>
  <si>
    <t>응용개발2팀</t>
  </si>
  <si>
    <t>경륜(홈)</t>
  </si>
  <si>
    <t>온라인</t>
  </si>
  <si>
    <t>개발시작일</t>
  </si>
  <si>
    <t>화면</t>
  </si>
  <si>
    <t>PI_JA011M01</t>
  </si>
  <si>
    <t>개발완료일</t>
  </si>
  <si>
    <t>실적시작일</t>
  </si>
  <si>
    <t>실적완료일</t>
  </si>
  <si>
    <t>평가항목통합관리</t>
  </si>
  <si>
    <t>TBD02</t>
  </si>
  <si>
    <t>N</t>
  </si>
  <si>
    <t>상</t>
  </si>
  <si>
    <t>개발대기</t>
  </si>
  <si>
    <t>완료</t>
  </si>
  <si>
    <t>화면설계 진행상태</t>
  </si>
  <si>
    <t>UI/UX기획상태</t>
  </si>
  <si>
    <t>설계서수령일</t>
  </si>
  <si>
    <t>기획서수령일</t>
  </si>
  <si>
    <t>퍼블진행상태</t>
  </si>
  <si>
    <t>PI_JA012M01</t>
  </si>
  <si>
    <t>후보생현황관리</t>
  </si>
  <si>
    <t>퍼블담당자</t>
  </si>
  <si>
    <t>전은우</t>
  </si>
  <si>
    <t>퍼블시작일</t>
  </si>
  <si>
    <t>퍼블종료일</t>
  </si>
  <si>
    <t>퍼블전달일</t>
  </si>
  <si>
    <t>퍼블 비고</t>
  </si>
  <si>
    <t>PI_JA013M01</t>
  </si>
  <si>
    <t>선발측정현황</t>
  </si>
  <si>
    <t>업무 비고</t>
  </si>
  <si>
    <t>PI_JA014M01</t>
  </si>
  <si>
    <t>면접현황관리</t>
  </si>
  <si>
    <t>중</t>
  </si>
  <si>
    <t>PI_JA015M01</t>
  </si>
  <si>
    <t>자전거실기</t>
  </si>
  <si>
    <t>팝업</t>
  </si>
  <si>
    <t>PI_JA015P01</t>
  </si>
  <si>
    <t>자전거실기(검사내용입력)</t>
  </si>
  <si>
    <t>Y</t>
  </si>
  <si>
    <t>PI_JA016M01</t>
  </si>
  <si>
    <t>체력측정</t>
  </si>
  <si>
    <t>하</t>
  </si>
  <si>
    <t>PI_JA016P01</t>
  </si>
  <si>
    <t>체력측정(검사내용입력)</t>
  </si>
  <si>
    <t>PI_JA017M01</t>
  </si>
  <si>
    <t>후보생선발접수</t>
  </si>
  <si>
    <t>PI_JA018M01</t>
  </si>
  <si>
    <t>선발접수현황</t>
  </si>
  <si>
    <t>종사원평가</t>
  </si>
  <si>
    <t>PI_FA011M01</t>
  </si>
  <si>
    <t>평가생성</t>
  </si>
  <si>
    <t>이주환</t>
  </si>
  <si>
    <t>PI_FA011P01</t>
  </si>
  <si>
    <t>평가생성(담당자조회)</t>
  </si>
  <si>
    <t>PI_FA011P02</t>
  </si>
  <si>
    <t>기초자료생성연동 팝업</t>
  </si>
  <si>
    <t>PI_FA012M01</t>
  </si>
  <si>
    <t>평가항목생성</t>
  </si>
  <si>
    <t>PI_FA012T01</t>
  </si>
  <si>
    <t>평가항목생성(근무실적)</t>
  </si>
  <si>
    <t>PI_FA012T02</t>
  </si>
  <si>
    <t>평가항목생성(서비스평가)</t>
  </si>
  <si>
    <t>PI_FA013M01</t>
  </si>
  <si>
    <t>성과등급기준</t>
  </si>
  <si>
    <t>PI_FA014M01</t>
  </si>
  <si>
    <t>평가배분표생성</t>
  </si>
  <si>
    <t>PI_FA021M01</t>
  </si>
  <si>
    <t>평가대상선정</t>
  </si>
  <si>
    <t>PI_FA021P01</t>
  </si>
  <si>
    <t>평가대상상세조회(발령일자조회)</t>
  </si>
  <si>
    <t>PI_FA022M01</t>
  </si>
  <si>
    <t>평가부서관리</t>
  </si>
  <si>
    <t>검수필요본수</t>
  </si>
  <si>
    <t>수정전달본수</t>
  </si>
  <si>
    <t>작업삭제본수</t>
  </si>
  <si>
    <t>수정범위(15%)</t>
  </si>
  <si>
    <t>대기본수(누락)</t>
  </si>
  <si>
    <t>PI_FA023M01</t>
  </si>
  <si>
    <t>부서별담당자선정</t>
  </si>
  <si>
    <t>김소연</t>
  </si>
  <si>
    <t>PI_FA024M01</t>
  </si>
  <si>
    <t>부서별대상자확정</t>
  </si>
  <si>
    <t>PI_FA025M01</t>
  </si>
  <si>
    <t>부서별평가자선정</t>
  </si>
  <si>
    <t>PI_FA025T01</t>
  </si>
  <si>
    <t>부서별평가자선정(근무실적평가)</t>
  </si>
  <si>
    <t>PI_FA025T02</t>
  </si>
  <si>
    <t>부서별평가자선정(서비스평가)</t>
  </si>
  <si>
    <t>PI_FA026M01</t>
  </si>
  <si>
    <t>평가제외추가</t>
  </si>
  <si>
    <t>PI_FA027M01</t>
  </si>
  <si>
    <t>평가자그룹선정</t>
  </si>
  <si>
    <t>PI_FA031M01</t>
  </si>
  <si>
    <t>역량평가</t>
  </si>
  <si>
    <t>성명</t>
  </si>
  <si>
    <t>PI_FA032M01</t>
  </si>
  <si>
    <t>근무실적평가</t>
  </si>
  <si>
    <t>투입일자</t>
  </si>
  <si>
    <t>철수일자</t>
  </si>
  <si>
    <t>투입공수(M/M)</t>
  </si>
  <si>
    <t>PI_FA032P01</t>
  </si>
  <si>
    <t>근태세부조회</t>
  </si>
  <si>
    <t>류다은</t>
  </si>
  <si>
    <t>PI_FA033M01</t>
  </si>
  <si>
    <t>서비스평가</t>
  </si>
  <si>
    <t>PI_FA041M01</t>
  </si>
  <si>
    <t>평가진행현황(총괄)</t>
  </si>
  <si>
    <t>이선영</t>
  </si>
  <si>
    <t>최수연</t>
  </si>
  <si>
    <t>PI_FA042M01</t>
  </si>
  <si>
    <t>부서별준비현황</t>
  </si>
  <si>
    <t>PI_FA043M01</t>
  </si>
  <si>
    <t>평가진행현황</t>
  </si>
  <si>
    <t>PI_FA044M01</t>
  </si>
  <si>
    <t>부서별진행현황</t>
  </si>
  <si>
    <t>PI_FA044T01</t>
  </si>
  <si>
    <t>부서별진행현황(근무실적평가현황)</t>
  </si>
  <si>
    <t>PI_FA044T02</t>
  </si>
  <si>
    <t>부서별진행현황(서비스평가현황)</t>
  </si>
  <si>
    <t>PI_FA045M01</t>
  </si>
  <si>
    <t>부서별승인현황</t>
  </si>
  <si>
    <t>PI_FA046M01</t>
  </si>
  <si>
    <t>부서별 평가자재선정(역량평가)</t>
  </si>
  <si>
    <t>PI_FA046T01</t>
  </si>
  <si>
    <t>부서별 평가자재선정(근무실적평가)</t>
  </si>
  <si>
    <t>PI_FA046T02</t>
  </si>
  <si>
    <t>부서별 평가자재선정(서비스평가)</t>
  </si>
  <si>
    <t>PI_FA047M01</t>
  </si>
  <si>
    <t>비밀번호초기화</t>
  </si>
  <si>
    <t>PI_FA048M01</t>
  </si>
  <si>
    <t>근무태도조회</t>
  </si>
  <si>
    <t>담당지정</t>
  </si>
  <si>
    <t>전달기준작업본수</t>
  </si>
  <si>
    <t>PI_FA049M01</t>
  </si>
  <si>
    <t>서비스평가조회</t>
  </si>
  <si>
    <t>PI_FA04AM01</t>
  </si>
  <si>
    <t>발매제외기간관리</t>
  </si>
  <si>
    <t>작성중</t>
  </si>
  <si>
    <t>한예인</t>
  </si>
  <si>
    <t>PI_FA051M01</t>
  </si>
  <si>
    <t>최종종합평가</t>
  </si>
  <si>
    <t>내용</t>
  </si>
  <si>
    <t>답변</t>
  </si>
  <si>
    <t>화면명</t>
  </si>
  <si>
    <t>문의날짜</t>
  </si>
  <si>
    <t>최소 해상도 1024px 화면 확인 시, 사이드 메뉴가 펼쳐진 상태 기준인지 확인 부탁드립니다</t>
  </si>
  <si>
    <t>업무화면 기준입니다.</t>
  </si>
  <si>
    <t>PI_FA052M01</t>
  </si>
  <si>
    <t>개인별평가상세</t>
  </si>
  <si>
    <t>- 라디오 버튼 disabled 상태일 때 디자인 추가 필요
- 탭폴더가 콘텐츠 영역 중간에 있을 때 표준 확인 필요</t>
  </si>
  <si>
    <t>PI_FA053M01</t>
  </si>
  <si>
    <t>항목별 세부평가내역(역량평가)</t>
  </si>
  <si>
    <r>
      <rPr>
        <rFont val="Arial"/>
        <color theme="1"/>
      </rPr>
      <t>- disabled 상태 디자인 전달 받은 사항 없음. 공통 디자인은 계속하여 업데이트 될 예정
  -</t>
    </r>
    <r>
      <rPr>
        <rFont val="Arial"/>
        <color rgb="FF0000FF"/>
      </rPr>
      <t>&gt; (작업자) readonly 상태로 배치</t>
    </r>
    <r>
      <rPr>
        <rFont val="Arial"/>
        <color theme="1"/>
      </rPr>
      <t xml:space="preserve">
- 피그마 내 '지사별 매출 실적 관리'  화면 참고 가능
- [4] 영역은 조회영역으로 배치</t>
    </r>
  </si>
  <si>
    <t>RA074M01</t>
  </si>
  <si>
    <t>지사별 매출 실적 관리</t>
  </si>
  <si>
    <t xml:space="preserve">기획서와 설계서의 지급조서 목록 그리드 하단 합계가 상이함. </t>
  </si>
  <si>
    <t>화면기획서는 설계서를 기반으로 작성되었으므로 기획서를 기준으로 작업하셔도 무방합니다. 다만, 간단한 사항은 추가하거나 삭제할 수 있으니 누락된 사항은 추가하는 방향이 좋을 것으로 판단됩니다
세부 사항은 상황에 따라 유연하게 판단해 주시고, 기획서와 차이가 너무 크다면 문의해 주세요.</t>
  </si>
  <si>
    <t>RC012M01</t>
  </si>
  <si>
    <t>지급조서관리</t>
  </si>
  <si>
    <t>- 범례 UI와 범례 컬러 표시된 그리드 UI 추가 필요</t>
  </si>
  <si>
    <t>디자인 문의 완료. 작업 예정</t>
  </si>
  <si>
    <t>RA045M01</t>
  </si>
  <si>
    <t>PI_FA053T01</t>
  </si>
  <si>
    <t>항목별 세부평가내역(근무실적)</t>
  </si>
  <si>
    <t>PI_FA053T02</t>
  </si>
  <si>
    <t>항목별 세부평가내역(서비스평가)</t>
  </si>
  <si>
    <t>PI_FA053T03</t>
  </si>
  <si>
    <t>항목별 세부평가내역(세부항목전체)</t>
  </si>
  <si>
    <t>PI_FA054M01</t>
  </si>
  <si>
    <t>개인별순위</t>
  </si>
  <si>
    <t>PI_FA055M01</t>
  </si>
  <si>
    <t>연속등급조회</t>
  </si>
  <si>
    <t>PI_FA061M01</t>
  </si>
  <si>
    <t>내부평사성과급기준</t>
  </si>
  <si>
    <t>PI_FA062M01</t>
  </si>
  <si>
    <t>내부평가성과급산정</t>
  </si>
  <si>
    <t>PI_FA081P01</t>
  </si>
  <si>
    <t>직종보직 팝업</t>
  </si>
  <si>
    <t>종사원평가_화면 수정사항_260904.pptx 참고</t>
  </si>
  <si>
    <t>PI_FA082P01</t>
  </si>
  <si>
    <t>쪽지 팝업</t>
  </si>
  <si>
    <t>PI_FA083P01</t>
  </si>
  <si>
    <t>SMS 팝업</t>
  </si>
  <si>
    <t>PI_FA084P01</t>
  </si>
  <si>
    <t>부서별평가자조회 팝업</t>
  </si>
  <si>
    <t>PI_FA085P01</t>
  </si>
  <si>
    <t>근무지조회 팝업</t>
  </si>
  <si>
    <t>경정(홈)</t>
  </si>
  <si>
    <t>PI_EA011M01</t>
  </si>
  <si>
    <t>PI_EA012M01</t>
  </si>
  <si>
    <t>PI_EA013M01</t>
  </si>
  <si>
    <t>PI_EA014M01</t>
  </si>
  <si>
    <t>PI_EA015M01</t>
  </si>
  <si>
    <t>신체검사</t>
  </si>
  <si>
    <t>PI_EA015P01</t>
  </si>
  <si>
    <t>신체검사(검사내용입력)</t>
  </si>
  <si>
    <t>PI_EA016M01</t>
  </si>
  <si>
    <t>기초체력검사</t>
  </si>
  <si>
    <t>PI_EA016P01</t>
  </si>
  <si>
    <t>기초체력검사(검사내용입력)</t>
  </si>
  <si>
    <t>PI_EA017M01</t>
  </si>
  <si>
    <t>응용개발1팀</t>
  </si>
  <si>
    <t>수입·정산관리</t>
  </si>
  <si>
    <t>PI_RA011M01</t>
  </si>
  <si>
    <t>매출목표관리</t>
  </si>
  <si>
    <t>전대섭</t>
  </si>
  <si>
    <t>UT_RA011M01</t>
  </si>
  <si>
    <t>1차</t>
  </si>
  <si>
    <t>PI_RA012M01</t>
  </si>
  <si>
    <t>매출목표예측</t>
  </si>
  <si>
    <t>UT_RA012M01</t>
  </si>
  <si>
    <t>PI_RA021M01</t>
  </si>
  <si>
    <t>입장좌석이용료 검증</t>
  </si>
  <si>
    <t>UT_RA021M01</t>
  </si>
  <si>
    <t>PI_RA031M01</t>
  </si>
  <si>
    <t>발매연계현황</t>
  </si>
  <si>
    <t>UT_RA031M01</t>
  </si>
  <si>
    <t>PI_RA032M01</t>
  </si>
  <si>
    <t>마감정산자료연계현황</t>
  </si>
  <si>
    <t>UT_RA032M01</t>
  </si>
  <si>
    <t>PI_RA033M01</t>
  </si>
  <si>
    <t>마감정산자료검증 대장</t>
  </si>
  <si>
    <t>UT_RA033M01</t>
  </si>
  <si>
    <t>PI_RA034M01</t>
  </si>
  <si>
    <t>마감정산자료 검증 1차</t>
  </si>
  <si>
    <t>(퍼블)전달완료</t>
  </si>
  <si>
    <t>UT_RA034M01</t>
  </si>
  <si>
    <t>PI_RA035M01</t>
  </si>
  <si>
    <t>마감정산자료 검증 2차</t>
  </si>
  <si>
    <t>UT_RA035M01</t>
  </si>
  <si>
    <t>PI_RA036M01</t>
  </si>
  <si>
    <t>마감정산자료 검증 실시간</t>
  </si>
  <si>
    <t>UT_RA036M01</t>
  </si>
  <si>
    <t>PI_RA037M01</t>
  </si>
  <si>
    <t>환불액 입력</t>
  </si>
  <si>
    <t>UT_RA037M01</t>
  </si>
  <si>
    <t>PI_RA041M01</t>
  </si>
  <si>
    <t>일일발매실적관리</t>
  </si>
  <si>
    <t>UT_RA041M01</t>
  </si>
  <si>
    <t>PI_RA042M01</t>
  </si>
  <si>
    <t>전자카드 은행거래 내역</t>
  </si>
  <si>
    <t>UT_RA042M01</t>
  </si>
  <si>
    <t>PI_RA043M01</t>
  </si>
  <si>
    <t>전자카드 은행기간별 내역</t>
  </si>
  <si>
    <t>UT_RA043M01</t>
  </si>
  <si>
    <t>PI_RA044M01</t>
  </si>
  <si>
    <t>경주·승식별 매출 실적 관리</t>
  </si>
  <si>
    <t>UT_RA044M01</t>
  </si>
  <si>
    <t>PI_RA045M01</t>
  </si>
  <si>
    <t>UT_RA045M01</t>
  </si>
  <si>
    <t>PI_RA046M01</t>
  </si>
  <si>
    <t>밸런스조회 관리</t>
  </si>
  <si>
    <t>UT_RA046M01</t>
  </si>
  <si>
    <t>PI_RA049M01</t>
  </si>
  <si>
    <t>밸런스조회 결과</t>
  </si>
  <si>
    <t>2026.09-19</t>
  </si>
  <si>
    <t>UT_RA049M01</t>
  </si>
  <si>
    <t>PI_RA04AM01</t>
  </si>
  <si>
    <t>밸런스입력 관리</t>
  </si>
  <si>
    <t>UT_RA04AM01</t>
  </si>
  <si>
    <t>PI_RA04BM01</t>
  </si>
  <si>
    <t>밸런스입력 결과</t>
  </si>
  <si>
    <t>UT_RA04BM01</t>
  </si>
  <si>
    <t>PI_RA047M01</t>
  </si>
  <si>
    <t>경주수입처리 오류관리</t>
  </si>
  <si>
    <t>UT_RA047M01</t>
  </si>
  <si>
    <t>PI_RA048M01</t>
  </si>
  <si>
    <t>전자카드 은행거래 현황</t>
  </si>
  <si>
    <t>UT_RA048M01</t>
  </si>
  <si>
    <t>PI_RA051M01</t>
  </si>
  <si>
    <t>기타소득세 관리</t>
  </si>
  <si>
    <t>UT_RA051M01</t>
  </si>
  <si>
    <t>PI_RA052M01</t>
  </si>
  <si>
    <t>레저세 조회</t>
  </si>
  <si>
    <t>UT_RA052M01</t>
  </si>
  <si>
    <t>PI_RA061M01</t>
  </si>
  <si>
    <t>지사입금 관리</t>
  </si>
  <si>
    <t>UT_RA061M01</t>
  </si>
  <si>
    <t>PI_RA071M01</t>
  </si>
  <si>
    <t>발매고유번호 조회</t>
  </si>
  <si>
    <t>UT_RA071M01</t>
  </si>
  <si>
    <t>PI_RA072M01</t>
  </si>
  <si>
    <t>발매고유번호를 통한 발매내역 조회 및 발매고유번호 검증/조회</t>
  </si>
  <si>
    <t>UT_RA072M01</t>
  </si>
  <si>
    <t>PI_RA073M01</t>
  </si>
  <si>
    <t>TF 관리(경주권분실신고)</t>
  </si>
  <si>
    <t>UT_RA073M01</t>
  </si>
  <si>
    <t>PI_RA074M01</t>
  </si>
  <si>
    <t>지불정지 해지 관리(경주권분실신고)</t>
  </si>
  <si>
    <t>UT_RA074M01</t>
  </si>
  <si>
    <t>PI_RA075M01</t>
  </si>
  <si>
    <t>경주권번호 검증 관리(경주권분실신고)</t>
  </si>
  <si>
    <t>UT_RA075M01</t>
  </si>
  <si>
    <t>PI_RA076M01</t>
  </si>
  <si>
    <t>분실신고 온라인 접수(경주권분실신고)</t>
  </si>
  <si>
    <t>UT_RA076M01</t>
  </si>
  <si>
    <t>PI_RA077M01</t>
  </si>
  <si>
    <t>분실신고 관리(경주권분실신고)</t>
  </si>
  <si>
    <t>UT_RA077M01</t>
  </si>
  <si>
    <t>PI_RA078M01</t>
  </si>
  <si>
    <t>경주권분실 만기/만료 관리(경주권분실신고)</t>
  </si>
  <si>
    <t>UT_RA078M01</t>
  </si>
  <si>
    <t>(업무)설계서수령</t>
  </si>
  <si>
    <t>(2026-09-21)</t>
  </si>
  <si>
    <t>PI_RA079M01</t>
  </si>
  <si>
    <t>경주권분실 환급 관리(경주권분실신고)</t>
  </si>
  <si>
    <t>UT_RA079M01</t>
  </si>
  <si>
    <t>지사운영관리</t>
  </si>
  <si>
    <t>PI_RC011M01</t>
  </si>
  <si>
    <t>지급조서관리(입력)</t>
  </si>
  <si>
    <t>TBD</t>
  </si>
  <si>
    <t>UT_RC011M01</t>
  </si>
  <si>
    <t>PI_RC012M01</t>
  </si>
  <si>
    <t>UT_RC012M01</t>
  </si>
  <si>
    <t>PI_RC013M01</t>
  </si>
  <si>
    <t>지급조서교차(수신, 시행처에서 본장으로)</t>
  </si>
  <si>
    <t>UT_RC013M01</t>
  </si>
  <si>
    <t>PI_RC014M01</t>
  </si>
  <si>
    <t>지급조서교차(송신, 본점에서 시행체로)</t>
  </si>
  <si>
    <t>UT_RC014M01</t>
  </si>
  <si>
    <t>(2026-09-28)</t>
  </si>
  <si>
    <t>PI_RC015M01</t>
  </si>
  <si>
    <t>지급조서 검증</t>
  </si>
  <si>
    <t>UT_RC015M01</t>
  </si>
  <si>
    <t>PI_RC016M01</t>
  </si>
  <si>
    <t>지급조서 확정</t>
  </si>
  <si>
    <t>UT_RC016M01</t>
  </si>
  <si>
    <t>PI_RC017M01</t>
  </si>
  <si>
    <t>지사 기본정보 관리</t>
  </si>
  <si>
    <t>UT_RC017M01</t>
  </si>
  <si>
    <t>PI_RC018M01</t>
  </si>
  <si>
    <t>지사 좌석현황 관리</t>
  </si>
  <si>
    <t>UT_RC018M01</t>
  </si>
  <si>
    <t>PI_RC019M01</t>
  </si>
  <si>
    <t>지사 매출 목표액 관리</t>
  </si>
  <si>
    <t>UT_RC019M01</t>
  </si>
  <si>
    <t>PI_RC021M01</t>
  </si>
  <si>
    <t>지사 발매기 자산 관리</t>
  </si>
  <si>
    <t>UT_RC021M01</t>
  </si>
  <si>
    <t>PI_RC022M01</t>
  </si>
  <si>
    <t>발매기 유지보수 이력 관리</t>
  </si>
  <si>
    <t>UT_RC022M01</t>
  </si>
  <si>
    <t>PI_RC023M01</t>
  </si>
  <si>
    <t>지사 투표소 현황 관리</t>
  </si>
  <si>
    <t>UT_RC023M01</t>
  </si>
  <si>
    <t>PI_RC031M01</t>
  </si>
  <si>
    <t>용지입고</t>
  </si>
  <si>
    <t>UT_RC031M01</t>
  </si>
  <si>
    <t>PI_RC032M01</t>
  </si>
  <si>
    <t>용지 입고 결재</t>
  </si>
  <si>
    <t>UT_RC032M01</t>
  </si>
  <si>
    <t>PI_RC033M01</t>
  </si>
  <si>
    <t>용지 출고</t>
  </si>
  <si>
    <t>UT_RC033M01</t>
  </si>
  <si>
    <t>PI_RC034M01</t>
  </si>
  <si>
    <t>용지 지사간이동</t>
  </si>
  <si>
    <t>UT_RC034M01</t>
  </si>
  <si>
    <t>PI_RC035M01</t>
  </si>
  <si>
    <t>용지 현황</t>
  </si>
  <si>
    <t>UT_RC035M01</t>
  </si>
  <si>
    <t>PI_RC036M01</t>
  </si>
  <si>
    <t>관리자 재고 조정</t>
  </si>
  <si>
    <t>UT_RC036M01</t>
  </si>
  <si>
    <t>PI_RC041M01</t>
  </si>
  <si>
    <t>지사의 지정좌석실 현황</t>
  </si>
  <si>
    <t>UT_RC041M01</t>
  </si>
  <si>
    <t>PI_RC051M01</t>
  </si>
  <si>
    <t>발매원 관리</t>
  </si>
  <si>
    <t>UT_RC051M01</t>
  </si>
  <si>
    <t>PI_RC061M01</t>
  </si>
  <si>
    <t>자발적 입장거부 입력</t>
  </si>
  <si>
    <t>UT_RC061M01</t>
  </si>
  <si>
    <t>PI_RC062M01</t>
  </si>
  <si>
    <t>자발적 입장거부 현황</t>
  </si>
  <si>
    <t>UT_RC062M01</t>
  </si>
  <si>
    <t>PI_RC071M01</t>
  </si>
  <si>
    <t>사감위 위반사항 관리(적발건수)</t>
  </si>
  <si>
    <t>UT_RC071M01</t>
  </si>
  <si>
    <t>PI_RC072M01</t>
  </si>
  <si>
    <t>사감위 위반사항 조회(적발건수 지사별)</t>
  </si>
  <si>
    <t>UT_RC072M01</t>
  </si>
  <si>
    <t>PI_RC072T01</t>
  </si>
  <si>
    <t>사감위 위반사항 조회(적발건수 월별별)</t>
  </si>
  <si>
    <t>UT_RC072T01</t>
  </si>
  <si>
    <t>PI_RC072T02</t>
  </si>
  <si>
    <t>사감위 위반사항 조회(적발건수 연도별)</t>
  </si>
  <si>
    <t>UT_RC072T02</t>
  </si>
  <si>
    <t>PI_RC073M01</t>
  </si>
  <si>
    <t>사감위 위반사항 결과 등록(삼진아웃활동)</t>
  </si>
  <si>
    <t>UT_RC073M01</t>
  </si>
  <si>
    <t>PI_RC074M01</t>
  </si>
  <si>
    <t>사감위 위반사항 결과 총괄표(삼진아웃활동 지사별 활동결과)</t>
  </si>
  <si>
    <t>UT_RC074M01</t>
  </si>
  <si>
    <t>(2026-10-05)</t>
  </si>
  <si>
    <t>PI_RC074T01</t>
  </si>
  <si>
    <t>사감위 위반사항 결과 총괄표(삼진아웃활동 결과총괄표)</t>
  </si>
  <si>
    <t>UT_RC074T01</t>
  </si>
  <si>
    <t>PI_RC081M01</t>
  </si>
  <si>
    <t>계도실적관리</t>
  </si>
  <si>
    <t>UT_RC081M01</t>
  </si>
  <si>
    <t>업무지원관리</t>
  </si>
  <si>
    <t>PI_RB011M01</t>
  </si>
  <si>
    <t>경륜준비상황 보고관리</t>
  </si>
  <si>
    <t>최영중</t>
  </si>
  <si>
    <t>UT_RB011M01</t>
  </si>
  <si>
    <t>PI_RB012M01</t>
  </si>
  <si>
    <t>경륜준비상황 보고확인(점검사항)</t>
  </si>
  <si>
    <t>UT_RB012M01</t>
  </si>
  <si>
    <t>PI_RB012T01</t>
  </si>
  <si>
    <t>경륜준비상황 보고확인(지시사항)</t>
  </si>
  <si>
    <t>UT_RB012T01</t>
  </si>
  <si>
    <t>PI_RB012R01</t>
  </si>
  <si>
    <t>경륜준비상황 보고서</t>
  </si>
  <si>
    <t>송영욱</t>
  </si>
  <si>
    <t>UT_RB012R01</t>
  </si>
  <si>
    <t>PI_RB013M01</t>
  </si>
  <si>
    <t>경륜개최결과 관리</t>
  </si>
  <si>
    <t>UT_RB013M01</t>
  </si>
  <si>
    <t>PI_RB014M01</t>
  </si>
  <si>
    <t>경륜개최결과 현황</t>
  </si>
  <si>
    <t>UT_RB014M01</t>
  </si>
  <si>
    <t>PI_RB014P01</t>
  </si>
  <si>
    <t>경륜개최결과 승식별 배당률</t>
  </si>
  <si>
    <t>UT_RB014P01</t>
  </si>
  <si>
    <t>PI_RB014R01</t>
  </si>
  <si>
    <t>경륜개최결과 보고서</t>
  </si>
  <si>
    <t>UT_RB014R01</t>
  </si>
  <si>
    <t>PI_RB015M01</t>
  </si>
  <si>
    <t>경륜특이사항 관리</t>
  </si>
  <si>
    <t>UT_RB015M01</t>
  </si>
  <si>
    <t>PI_RB016M01</t>
  </si>
  <si>
    <t>경륜특이사항 상세</t>
  </si>
  <si>
    <t>UT_RB016M01</t>
  </si>
  <si>
    <t>PI_RB017M01</t>
  </si>
  <si>
    <t>경륜개최결과 요약</t>
  </si>
  <si>
    <t>UT_RB017M01</t>
  </si>
  <si>
    <t>(업무)비고-확인</t>
  </si>
  <si>
    <t>(2026-09-14)</t>
  </si>
  <si>
    <t>PI_RB018M01</t>
  </si>
  <si>
    <t>경륜경주결과 관리</t>
  </si>
  <si>
    <t>UT_RB018M01</t>
  </si>
  <si>
    <t>디자인 문의
종사원평가_화면 수정사항_260904.pptx 참고</t>
  </si>
  <si>
    <t>PI_RB019M01</t>
  </si>
  <si>
    <t>경륜경주결과보고 관리</t>
  </si>
  <si>
    <t>UT_RB019M01</t>
  </si>
  <si>
    <t>PI_RB019T01</t>
  </si>
  <si>
    <t>경륜경주결과보고 관리(지사별 매출현황)</t>
  </si>
  <si>
    <t>UT_RB019T01</t>
  </si>
  <si>
    <t>PI_RB021M01</t>
  </si>
  <si>
    <t>경정 준비상황 보고관리</t>
  </si>
  <si>
    <t>UT_RB021M01</t>
  </si>
  <si>
    <t>PI_RB022M01</t>
  </si>
  <si>
    <t>경정 준비상황 보고서 전자결재 연동</t>
  </si>
  <si>
    <t>UT_RB022M01</t>
  </si>
  <si>
    <t>PI_RB023M01</t>
  </si>
  <si>
    <t>경정 상황일지 관리</t>
  </si>
  <si>
    <t>UT_RB023M01</t>
  </si>
  <si>
    <t>PI_RB024M01</t>
  </si>
  <si>
    <t>경정 개최결과 보고관리</t>
  </si>
  <si>
    <t>UT_RB024M01</t>
  </si>
  <si>
    <t>PI_RB025M01</t>
  </si>
  <si>
    <t>경정 개최결과 보고서 전자결재 연동(경정기획팀 팀장)</t>
  </si>
  <si>
    <t>UT_RB025M01</t>
  </si>
  <si>
    <t>PI_RB031M01</t>
  </si>
  <si>
    <t>소모품등록 관리</t>
  </si>
  <si>
    <t>UT_RB031M01</t>
  </si>
  <si>
    <t>PI_RB031P01</t>
  </si>
  <si>
    <t>소모품주문 관리</t>
  </si>
  <si>
    <t>UT_RB031P01</t>
  </si>
  <si>
    <t>PI_RB032M01</t>
  </si>
  <si>
    <t>소모품신청 관리</t>
  </si>
  <si>
    <t>UT_RB032M01</t>
  </si>
  <si>
    <t>팝업 내용</t>
  </si>
  <si>
    <t>PI_RB033M01</t>
  </si>
  <si>
    <t>소모품신청 현황</t>
  </si>
  <si>
    <t>UT_RB033M01</t>
  </si>
  <si>
    <t>TOBE 프로그램 ID</t>
  </si>
  <si>
    <t>PI_RB034M01</t>
  </si>
  <si>
    <t>소모품대장 관리</t>
  </si>
  <si>
    <t>응용1팀</t>
  </si>
  <si>
    <t>UT_RB034M01</t>
  </si>
  <si>
    <t>수입정산관리</t>
  </si>
  <si>
    <t>UI_RA073M01</t>
  </si>
  <si>
    <t>구매내역 팝업</t>
  </si>
  <si>
    <t>창구번호 목록 팝업</t>
  </si>
  <si>
    <t>화면 기획서 내 팝업 존재</t>
  </si>
  <si>
    <t>UI_RA074M01</t>
  </si>
  <si>
    <t>조직도 공통화면</t>
  </si>
  <si>
    <t>화면 기획서 내에는 존재하지 않음</t>
  </si>
  <si>
    <t>PI_RB034P01</t>
  </si>
  <si>
    <t>소모품목록 관리</t>
  </si>
  <si>
    <t>UT_RB034P01</t>
  </si>
  <si>
    <t>PI_RB041M01</t>
  </si>
  <si>
    <t>행사일정 관리</t>
  </si>
  <si>
    <t>UT_RB041M01</t>
  </si>
  <si>
    <t>PI_RB042M01</t>
  </si>
  <si>
    <t>신청자 관리(On-Line, 홈페이지)</t>
  </si>
  <si>
    <t>UT_RB042M01</t>
  </si>
  <si>
    <t>PI_RB042T01</t>
  </si>
  <si>
    <t>신청자 관리(Off-Line)</t>
  </si>
  <si>
    <t>UT_RB042T01</t>
  </si>
  <si>
    <t>PI_RB043M01</t>
  </si>
  <si>
    <t>명예심판선정 관리</t>
  </si>
  <si>
    <t>UT_RB043M01</t>
  </si>
  <si>
    <t>PI_RB043P01</t>
  </si>
  <si>
    <t>명예심판등록 관리</t>
  </si>
  <si>
    <t>UT_RB043P01</t>
  </si>
  <si>
    <t>PI_RB044M01</t>
  </si>
  <si>
    <t>개인별 선정내역</t>
  </si>
  <si>
    <t>UT_RB044M01</t>
  </si>
  <si>
    <t>PI_RB051M01</t>
  </si>
  <si>
    <t>실시간 매출액 변동 현황</t>
  </si>
  <si>
    <t>UT_RB051M01</t>
  </si>
  <si>
    <t>PI_RB054M01</t>
  </si>
  <si>
    <t>매출이상징후 관리</t>
  </si>
  <si>
    <t>UT_RB054M01</t>
  </si>
  <si>
    <t>PI_RB055M01</t>
  </si>
  <si>
    <t>지사별 발매건수 관리(전체)</t>
  </si>
  <si>
    <t>UT_RB055M01</t>
  </si>
  <si>
    <t>PI_RB055T01</t>
  </si>
  <si>
    <t>지사별 발매건수 관리(현금, 합계)</t>
  </si>
  <si>
    <t>UT_RB055T01</t>
  </si>
  <si>
    <t>PI_RB055T02</t>
  </si>
  <si>
    <t>지사별 발매건수 관리(현금 유인)</t>
  </si>
  <si>
    <t>UT_RB055T02</t>
  </si>
  <si>
    <t>PI_RB055T03</t>
  </si>
  <si>
    <t>지사별 발매건수 관리(현금 무인)</t>
  </si>
  <si>
    <t>UT_RB055T03</t>
  </si>
  <si>
    <t>PI_RB055T04</t>
  </si>
  <si>
    <t>지사별 발매건수 관리(스피드온, 전자카드)</t>
  </si>
  <si>
    <t>(2026-10-12)</t>
  </si>
  <si>
    <t>UT_RB055T04</t>
  </si>
  <si>
    <t>PI_RB055T05</t>
  </si>
  <si>
    <t>지사별 발매건수 관리(전자카드단말)</t>
  </si>
  <si>
    <t>UT_RB055T05</t>
  </si>
  <si>
    <t>PI_RB055T06</t>
  </si>
  <si>
    <t>지사별 발매건수 관리(스피드온)</t>
  </si>
  <si>
    <t>UT_RB055T06</t>
  </si>
  <si>
    <t>PI_RB056M01</t>
  </si>
  <si>
    <t>요일별 발매건수 관리(전체)</t>
  </si>
  <si>
    <t>UT_RB056M01</t>
  </si>
  <si>
    <t>PI_RB056T01</t>
  </si>
  <si>
    <t>요일별 발매건수 관리(현금, 합계)</t>
  </si>
  <si>
    <t>UT_RB056T01</t>
  </si>
  <si>
    <t>PI_RB056T02</t>
  </si>
  <si>
    <t>요일별 발매건수 관리(현금 유인)</t>
  </si>
  <si>
    <t>UT_RB056T02</t>
  </si>
  <si>
    <t>PI_RB056T03</t>
  </si>
  <si>
    <t>요일별 발매건수 관리(현금 무인)</t>
  </si>
  <si>
    <t>UT_RB056T03</t>
  </si>
  <si>
    <t>PI_RB056T04</t>
  </si>
  <si>
    <t>요일별 발매건수 관리(스피드온, 전자카드)</t>
  </si>
  <si>
    <t>UT_RB056T04</t>
  </si>
  <si>
    <t>PI_RB056T05</t>
  </si>
  <si>
    <t>요일별 발매건수 관리(전자카드단말)</t>
  </si>
  <si>
    <t>UT_RB056T05</t>
  </si>
  <si>
    <t>PI_RB056T06</t>
  </si>
  <si>
    <t>요일별 발매건수 관리(스피드온)</t>
  </si>
  <si>
    <t>UT_RB056T06</t>
  </si>
  <si>
    <t>PI_RB057M01</t>
  </si>
  <si>
    <t>일자별 발매건수 관리(전체)</t>
  </si>
  <si>
    <t>UT_RB057M01</t>
  </si>
  <si>
    <t>PI_RB057T01</t>
  </si>
  <si>
    <t>일자별 발매건수 관리(현금, 합계)</t>
  </si>
  <si>
    <t>UT_RB057T01</t>
  </si>
  <si>
    <t>PI_RB057T02</t>
  </si>
  <si>
    <t>일자별 발매건수 관리(현금 유인)</t>
  </si>
  <si>
    <t>UT_RB057T02</t>
  </si>
  <si>
    <t>PI_RB057T03</t>
  </si>
  <si>
    <t>일자별 발매건수 관리(현금 무인)</t>
  </si>
  <si>
    <t>UT_RB057T03</t>
  </si>
  <si>
    <t>PI_RB057T04</t>
  </si>
  <si>
    <t>일자별 발매건수 관리(스피드온, 전자카드)</t>
  </si>
  <si>
    <t>UT_RB057T04</t>
  </si>
  <si>
    <t>PI_RB057T05</t>
  </si>
  <si>
    <t>일자별 발매건수 관리(전자카드단말)</t>
  </si>
  <si>
    <t>UT_RB057T05</t>
  </si>
  <si>
    <t>PI_RB057T06</t>
  </si>
  <si>
    <t>일자별 발매건수 관리(스피드온)</t>
  </si>
  <si>
    <t>UT_RB057T06</t>
  </si>
  <si>
    <t>PI_RB052M01</t>
  </si>
  <si>
    <t>발매모니터링 이상징후 감지 및 알림</t>
  </si>
  <si>
    <t>UT_RB052M01</t>
  </si>
  <si>
    <t>PI_RB053M01</t>
  </si>
  <si>
    <t>발매기 모니터링 화면 연계</t>
  </si>
  <si>
    <t>UT_RB053M01</t>
  </si>
  <si>
    <t>PI_RB061M01</t>
  </si>
  <si>
    <t>총량준수율(순매출액, TapPage)</t>
  </si>
  <si>
    <t>UT_RB061M01</t>
  </si>
  <si>
    <t>PI_RB061T01</t>
  </si>
  <si>
    <t>총량준수율(총매출액, TapPage)</t>
  </si>
  <si>
    <t>UT_RB061T01</t>
  </si>
  <si>
    <t>PI_RB062M01</t>
  </si>
  <si>
    <t>장외지사 매출비율</t>
  </si>
  <si>
    <t>UT_RB062M01</t>
  </si>
  <si>
    <t>PI_RB066M01</t>
  </si>
  <si>
    <t>교차투표율(교차투표율, TapPage)</t>
  </si>
  <si>
    <t>UT_RB066M01</t>
  </si>
  <si>
    <t>PI_RB066T01</t>
  </si>
  <si>
    <t>교차투표율(교차경기수, TapPage)</t>
  </si>
  <si>
    <t>UT_RB066T01</t>
  </si>
  <si>
    <t>PI_RB067M01</t>
  </si>
  <si>
    <t>매출총량 예상도달일</t>
  </si>
  <si>
    <t>UT_RB067M01</t>
  </si>
  <si>
    <t>PI_RB068M01</t>
  </si>
  <si>
    <t>SMS발송관리</t>
  </si>
  <si>
    <t>UT_RB068M01</t>
  </si>
  <si>
    <t>PI_RB063M01</t>
  </si>
  <si>
    <t>건전화평가총괄표 관리</t>
  </si>
  <si>
    <t>UT_RB063M01</t>
  </si>
  <si>
    <t>PI_RB064M01</t>
  </si>
  <si>
    <t>건전화평가계량 현황(경륜)</t>
  </si>
  <si>
    <t>UT_RB064M01</t>
  </si>
  <si>
    <t>PI_RB064T01</t>
  </si>
  <si>
    <t>건전화평가계량 현황(경정)</t>
  </si>
  <si>
    <t>UT_RB064T01</t>
  </si>
  <si>
    <t>PI_RB065M01</t>
  </si>
  <si>
    <t>건전화예산편성 및 집행 관리(경륜)</t>
  </si>
  <si>
    <t>UT_RB065M01</t>
  </si>
  <si>
    <t>PI_RB065T01</t>
  </si>
  <si>
    <t>건전화예산편성 및 집행 관리(경정)</t>
  </si>
  <si>
    <t>UT_RB065T01</t>
  </si>
  <si>
    <t>PI_RB069M01</t>
  </si>
  <si>
    <t>건전화평가 지표 관리</t>
  </si>
  <si>
    <t>UT_RB069M01</t>
  </si>
  <si>
    <t>PI_RB071M01</t>
  </si>
  <si>
    <t>UT_RB071M01</t>
  </si>
  <si>
    <t>- UIIUX 작업 없음
UI_RC071M01, 동일한 기능으로 작성, 개발하지 않음</t>
  </si>
  <si>
    <t>PI_RB072M01</t>
  </si>
  <si>
    <t>UT_RB072M01</t>
  </si>
  <si>
    <t>- UIIUX 작업 없음
UI_RC072M01, 동일한 기능으로 작성, 개발하지 않음</t>
  </si>
  <si>
    <t>PI_RB072T01</t>
  </si>
  <si>
    <t>UT_RB072T01</t>
  </si>
  <si>
    <t>- UIIUX 작업 없음
UI_RC072T01, 동일한 기능으로 작성, 개발하지 않음</t>
  </si>
  <si>
    <t>PI_RB072T02</t>
  </si>
  <si>
    <t>UT_RB072T02</t>
  </si>
  <si>
    <t>- UIIUX 작업 없음
UI_RC072T02, 동일한 기능으로 작성, 개발하지 않음</t>
  </si>
  <si>
    <t>PI_RB073M01</t>
  </si>
  <si>
    <t>UT_RB073M01</t>
  </si>
  <si>
    <t>- UIIUX 작업 없음
UI_RC073M01, 동일한 기능으로 작성, 개발하지 않음</t>
  </si>
  <si>
    <t>PI_RB074M01</t>
  </si>
  <si>
    <t>UT_RB074M01</t>
  </si>
  <si>
    <t>- UIIUX 작업 없음
UI_RC074M01, 동일한 기능으로 작성, 개발하지 않음</t>
  </si>
  <si>
    <t>PI_RB074T01</t>
  </si>
  <si>
    <t>UT_RB074T01</t>
  </si>
  <si>
    <t>- UIIUX 작업 없음
UI_RC074T01, 동일한 기능으로 작성, 개발하지 않음</t>
  </si>
  <si>
    <t>매출·입장현황(통계)</t>
  </si>
  <si>
    <t>PI_RD011M01</t>
  </si>
  <si>
    <t>경주일 상황판 Excel, PDF 다운로드, 온/오프라인 조회</t>
  </si>
  <si>
    <t>UT_RD011M01</t>
  </si>
  <si>
    <t>PI_RD012M01</t>
  </si>
  <si>
    <t>매출조회 Excel, PDF 다운로드, 온/오프라인 조회</t>
  </si>
  <si>
    <t>UT_RD012M01</t>
  </si>
  <si>
    <t>PI_RD013M01</t>
  </si>
  <si>
    <t>매출총량 Excel, PDF 다운로드, 온/오프라인 조회</t>
  </si>
  <si>
    <t>UT_RD013M01</t>
  </si>
  <si>
    <t>PI_RD014M01</t>
  </si>
  <si>
    <t>매출 추이를 그래프 형태로 출력 및 PDF 다운로드, 온/오프라일 조회</t>
  </si>
  <si>
    <t>UT_RD014M01</t>
  </si>
  <si>
    <t>PI_RD015M01</t>
  </si>
  <si>
    <t>UT_RD015M01</t>
  </si>
  <si>
    <t>PI_RD015T01</t>
  </si>
  <si>
    <t>UT_RD015T01</t>
  </si>
  <si>
    <t>PI_RD016M01</t>
  </si>
  <si>
    <t>UT_RD016M01</t>
  </si>
  <si>
    <t>PI_RD017M01</t>
  </si>
  <si>
    <t>UT_RD017M01</t>
  </si>
  <si>
    <t>PI_RD017T01</t>
  </si>
  <si>
    <t>UT_RD017T01</t>
  </si>
  <si>
    <t>PI_RD018M01</t>
  </si>
  <si>
    <t>UT_RD018M01</t>
  </si>
  <si>
    <t>PI_RD021M01</t>
  </si>
  <si>
    <t>순매출 기준 매출 정보 분석하는 기능 Excel, PDF 다운로드, 온/오프라일 조회</t>
  </si>
  <si>
    <t>UT_RD021M01</t>
  </si>
  <si>
    <t>PI_RD031M01</t>
  </si>
  <si>
    <t>금액구간별 발매 정보 분석하는 기능 Excel, PDF 다운로드, 온/오프라일 조회</t>
  </si>
  <si>
    <t>UT_RD031M01</t>
  </si>
  <si>
    <t>PI_RD041M01</t>
  </si>
  <si>
    <t>입장인원 조회 Excel, PDF 다운로드, 온/오프라일 조회</t>
  </si>
  <si>
    <t>UT_RD041M01</t>
  </si>
  <si>
    <t>PI_RD042M01</t>
  </si>
  <si>
    <t>경주 매출결과 보고서 전자결재 연동, Excel, PDF 다운로드, 온/오프라인 조회</t>
  </si>
  <si>
    <t>UT_RD042M01</t>
  </si>
  <si>
    <t>정보연계</t>
  </si>
  <si>
    <t>PI_RE011M01</t>
  </si>
  <si>
    <t>PROCEDURE 통합 모니터링(SFR-RBM-020 ~ SFR-RBM-025 )</t>
  </si>
  <si>
    <t>UT_RE011M01</t>
  </si>
  <si>
    <t>정보관리</t>
  </si>
  <si>
    <t>PI_RF011M01</t>
  </si>
  <si>
    <t>경주일 발매 현황(발매시간/발매진행이력)</t>
  </si>
  <si>
    <t>UT_RF011M01</t>
  </si>
  <si>
    <t>PI_RF021M01</t>
  </si>
  <si>
    <t>사용자 동적검색</t>
  </si>
  <si>
    <t>UT_RF021M01</t>
  </si>
  <si>
    <t>시스템공통</t>
  </si>
  <si>
    <t>공통</t>
  </si>
  <si>
    <t>PI_comSrchUser</t>
  </si>
  <si>
    <t>회원조회팝업</t>
  </si>
  <si>
    <t>장승현</t>
  </si>
  <si>
    <t>UT_comSrchUser</t>
  </si>
  <si>
    <t>PI_comSrchTempUser</t>
  </si>
  <si>
    <t>임시사용자조회팝업</t>
  </si>
  <si>
    <t>UT_comSrchTempUser</t>
  </si>
  <si>
    <t>PI_comSrchEvUser</t>
  </si>
  <si>
    <t>평가사용자조회팝업</t>
  </si>
  <si>
    <t>UT_comSrchEvUser</t>
  </si>
  <si>
    <t>PI_comPMsgDialog</t>
  </si>
  <si>
    <t>공통메시지팝업</t>
  </si>
  <si>
    <t>정다빈</t>
  </si>
  <si>
    <t>UT_comPMsgDialog</t>
  </si>
  <si>
    <t>PI_comExcelDown</t>
  </si>
  <si>
    <t>공통엑셀다운로드팝업</t>
  </si>
  <si>
    <t>UT_comExcelDown</t>
  </si>
  <si>
    <t>PI_comMultiExcelDown</t>
  </si>
  <si>
    <t>공통멀티엑셀다운로드팝업</t>
  </si>
  <si>
    <t>UT_comMultiExcelDown</t>
  </si>
  <si>
    <t>PI_comSendSms</t>
  </si>
  <si>
    <t>SMS전송팝업</t>
  </si>
  <si>
    <t>UT_comSendSMS</t>
  </si>
  <si>
    <t>PI_comLogin</t>
  </si>
  <si>
    <t>로그인</t>
  </si>
  <si>
    <t>UT_comLogin</t>
  </si>
  <si>
    <t>PI_comDeptTree</t>
  </si>
  <si>
    <t>부서조회팝업</t>
  </si>
  <si>
    <t>UT_comDeptTree</t>
  </si>
  <si>
    <t>PI_comMain</t>
  </si>
  <si>
    <t>메인</t>
  </si>
  <si>
    <t>UT_comMain</t>
  </si>
  <si>
    <t>PI_comMyMenu</t>
  </si>
  <si>
    <t>마이메뉴</t>
  </si>
  <si>
    <t>UT_comMyMenu</t>
  </si>
  <si>
    <t>PI_comSiteMap</t>
  </si>
  <si>
    <t>사이트맵</t>
  </si>
  <si>
    <t>UT_comSiteMap</t>
  </si>
  <si>
    <t>PI_comHelpInfo</t>
  </si>
  <si>
    <t>공통웹도움말팝업</t>
  </si>
  <si>
    <t>UT_comHelpInfo</t>
  </si>
  <si>
    <t>PI_comAddressInfo</t>
  </si>
  <si>
    <t>공통주소조회팝업</t>
  </si>
  <si>
    <t>UT_comAddressInfo</t>
  </si>
  <si>
    <t>레이아웃이 없는 빈프레임 
API 사용
http://www.juso.go.kr/addrlink/addrLinkUrlSearch.do</t>
  </si>
  <si>
    <t>PI_comReportViewer</t>
  </si>
  <si>
    <t>공통레포트뷰어팝업</t>
  </si>
  <si>
    <t>UT_comReportViewer</t>
  </si>
  <si>
    <t>레이아웃이 없는 빈프레임 
레포트파일 오픈</t>
  </si>
  <si>
    <t>PI_comPersonalmnRsn</t>
  </si>
  <si>
    <t>개인정보처리사유입력팝업</t>
  </si>
  <si>
    <t>UT_comPersonalmnRsn</t>
  </si>
  <si>
    <t>PI_ZA011M01</t>
  </si>
  <si>
    <t>메뉴관리</t>
  </si>
  <si>
    <t>UT_ZA011</t>
  </si>
  <si>
    <t>PI_ZB011M01</t>
  </si>
  <si>
    <t>사용자관리</t>
  </si>
  <si>
    <t>UT_ZB011</t>
  </si>
  <si>
    <t>PI_ZB011T01</t>
  </si>
  <si>
    <t>사용자목록</t>
  </si>
  <si>
    <t>PI_ZB011T02</t>
  </si>
  <si>
    <t>임시사용자목록</t>
  </si>
  <si>
    <t>PI_ZB011T03</t>
  </si>
  <si>
    <t>평가사용자목록</t>
  </si>
  <si>
    <t>PI_ZB011P01</t>
  </si>
  <si>
    <t>비밀번호변경팝업</t>
  </si>
  <si>
    <t>PI_ZB021M01</t>
  </si>
  <si>
    <t>부서이동자관리</t>
  </si>
  <si>
    <t>UT_ZB021</t>
  </si>
  <si>
    <t>PI_ZC011M01</t>
  </si>
  <si>
    <t>전자결재기준관리</t>
  </si>
  <si>
    <t>UT_ZC011</t>
  </si>
  <si>
    <t>PI_ZC021M01</t>
  </si>
  <si>
    <t>전자결재현황조회</t>
  </si>
  <si>
    <t>UT_ZC021</t>
  </si>
  <si>
    <t>설계서 내용 미흡</t>
  </si>
  <si>
    <t>PI_ZC031M01</t>
  </si>
  <si>
    <t>심판결재선지정</t>
  </si>
  <si>
    <t>UT_ZC031</t>
  </si>
  <si>
    <t>PI_ZD011M01</t>
  </si>
  <si>
    <t>알림사용자관리</t>
  </si>
  <si>
    <t>UT_ZD011</t>
  </si>
  <si>
    <t>PI_ZD021M01</t>
  </si>
  <si>
    <t>알림발송관리</t>
  </si>
  <si>
    <t>UT_ZD021</t>
  </si>
  <si>
    <t>PI_ZE011M01</t>
  </si>
  <si>
    <t>연계모니터링관리</t>
  </si>
  <si>
    <t>UT_ZE011</t>
  </si>
  <si>
    <t>PI_ZE021M01</t>
  </si>
  <si>
    <t>교차모니터링관리</t>
  </si>
  <si>
    <t>UT_ZE021</t>
  </si>
  <si>
    <t>PI_ZF011M01</t>
  </si>
  <si>
    <t>공지사항관리</t>
  </si>
  <si>
    <t>UT_ZF011</t>
  </si>
  <si>
    <t>PI_ZF021M01</t>
  </si>
  <si>
    <t>Q&amp;A관리</t>
  </si>
  <si>
    <t>UT_ZF021</t>
  </si>
  <si>
    <t>PI_ZG011M01</t>
  </si>
  <si>
    <t>권한그룹관리</t>
  </si>
  <si>
    <t>UT_ZG011</t>
  </si>
  <si>
    <t>PI_ZG021M01</t>
  </si>
  <si>
    <t>메뉴별권한관리</t>
  </si>
  <si>
    <t>UT_ZG021</t>
  </si>
  <si>
    <t>PI_ZG031M01</t>
  </si>
  <si>
    <t>권한부여자관리</t>
  </si>
  <si>
    <t>UT_ZG031</t>
  </si>
  <si>
    <t>PI_ZG041M01</t>
  </si>
  <si>
    <t>개인정보처리메뉴권한관리</t>
  </si>
  <si>
    <t>UT_ZG041</t>
  </si>
  <si>
    <t>PI_ZG041P01</t>
  </si>
  <si>
    <t>개인정보처리권한허용IP관리</t>
  </si>
  <si>
    <t>PI_ZG051M01</t>
  </si>
  <si>
    <t>개인정보처리메뉴권한부여현황</t>
  </si>
  <si>
    <t>UT_ZG051</t>
  </si>
  <si>
    <t>PI_ZG061M01</t>
  </si>
  <si>
    <t>개인정보처리메뉴작업로그</t>
  </si>
  <si>
    <t>UT_ZG061</t>
  </si>
  <si>
    <t>PI_ZH011M01</t>
  </si>
  <si>
    <t>배치로그조회</t>
  </si>
  <si>
    <t>UT_ZH011</t>
  </si>
  <si>
    <t>PI_ZH021M01</t>
  </si>
  <si>
    <t>웹로그조회</t>
  </si>
  <si>
    <t>UT_ZH021</t>
  </si>
  <si>
    <t>PI_ZZ011M01</t>
  </si>
  <si>
    <t>코드관리</t>
  </si>
  <si>
    <t>UT_ZZ011</t>
  </si>
  <si>
    <t>배치</t>
  </si>
  <si>
    <t>B_SCM_A1</t>
  </si>
  <si>
    <t>배치오류메시지전송</t>
  </si>
  <si>
    <t>SP_CHK_LOG
(매일 20분마다)</t>
  </si>
  <si>
    <t>B_SCM_B1</t>
  </si>
  <si>
    <t>SMS중계서버상태확인</t>
  </si>
  <si>
    <t>SP_CHK_SMS_SVR
(20초마다)</t>
  </si>
  <si>
    <t>B_SCM_C1</t>
  </si>
  <si>
    <t>홈페이지회원수조회</t>
  </si>
  <si>
    <t>SP_WEB_VISITOR_CNT
(매일 20분마다)</t>
  </si>
  <si>
    <t>B_SCM_D1</t>
  </si>
  <si>
    <t>DB접속상태체크(공단본부,그룹웨어)</t>
  </si>
  <si>
    <t>SP_CHECK_DB_CONN
SP_ALARM_SEND_SMS
SP_BTC_LOG_SEQ</t>
  </si>
  <si>
    <t>B_SCM_E1</t>
  </si>
  <si>
    <t>사용자정보저장</t>
  </si>
  <si>
    <t>SP_BTC_LOG
SP_IMPORT_USER_RBM
SP_IMPORT_USER
SP_IMPORT_USER_TEMP
(매일 9-17시 1시간마다)</t>
  </si>
  <si>
    <t>대내연계</t>
  </si>
  <si>
    <t>인터페이스</t>
  </si>
  <si>
    <t>IF_SCM_R001</t>
  </si>
  <si>
    <t>그룹웨어사용자정보수신</t>
  </si>
  <si>
    <t>2차</t>
  </si>
  <si>
    <t>IF_SCM_R002</t>
  </si>
  <si>
    <t>그룹웨어DB접속가능정보수신</t>
  </si>
  <si>
    <t>IF_SCM_R003</t>
  </si>
  <si>
    <t>그룹웨어부서정보수신</t>
  </si>
  <si>
    <t>IF_SCM_R004</t>
  </si>
  <si>
    <t>임시사용자 (지원직 및 텔러)정보 수신</t>
  </si>
  <si>
    <t>IF_SCM_R005</t>
  </si>
  <si>
    <t>스피드온개인정보처리고객명단 수신</t>
  </si>
  <si>
    <t>신규 요청 인터페이스</t>
  </si>
  <si>
    <t>IF_SCM_R006</t>
  </si>
  <si>
    <t>공단본부주전산DB접속가능정보수신</t>
  </si>
  <si>
    <t>IF_SCM_R007</t>
  </si>
  <si>
    <t>투표소그룹코드정보 수신</t>
  </si>
  <si>
    <t>IF_SCM_S001</t>
  </si>
  <si>
    <t>전체사용자정보 송신</t>
  </si>
  <si>
    <t>IF_SCM_S002</t>
  </si>
  <si>
    <t>발매전산팀정보 송신</t>
  </si>
  <si>
    <t>IF_SCM_S003</t>
  </si>
  <si>
    <t>경륜사용자정보 송신</t>
  </si>
  <si>
    <t>IF_SCM_S004</t>
  </si>
  <si>
    <t>경정사용자정보 송신</t>
  </si>
  <si>
    <t>IF_SCM_S005</t>
  </si>
  <si>
    <t>사용자접속정보 송신</t>
  </si>
  <si>
    <t>IF_SCM_S006</t>
  </si>
  <si>
    <t>평가사용자정보 송신</t>
  </si>
  <si>
    <t>IF_SCM_S007</t>
  </si>
  <si>
    <t>관리자정보 송신</t>
  </si>
  <si>
    <t>IF_SCM_S008</t>
  </si>
  <si>
    <t>부서정보 송신</t>
  </si>
  <si>
    <t>IF_SCM_S009</t>
  </si>
  <si>
    <t>부서권한정보송신</t>
  </si>
  <si>
    <t>IF_SCM_S010</t>
  </si>
  <si>
    <t>경주메뉴정보 송신</t>
  </si>
  <si>
    <t>IF_SCM_S011</t>
  </si>
  <si>
    <t>경정메뉴정보 송신</t>
  </si>
  <si>
    <t>IF_SCM_S012</t>
  </si>
  <si>
    <t>경륜메뉴정보 송신</t>
  </si>
  <si>
    <t>IF_SCM_S013</t>
  </si>
  <si>
    <t>경주메뉴권한정보 송신</t>
  </si>
  <si>
    <t>IF_SCM_S014</t>
  </si>
  <si>
    <t>경정메뉴권한정보 송신</t>
  </si>
  <si>
    <t>IF_SCM_S015</t>
  </si>
  <si>
    <t>경륜메뉴권한정보 송신</t>
  </si>
  <si>
    <t>IF_SCM_S016</t>
  </si>
  <si>
    <t>경주메뉴권한이력정보 송신</t>
  </si>
  <si>
    <t>IF_SCM_S017</t>
  </si>
  <si>
    <t>경정메뉴권한이력정보 송신</t>
  </si>
  <si>
    <t>IF_SCM_S018</t>
  </si>
  <si>
    <t>개인정보메뉴접근정보 송신</t>
  </si>
  <si>
    <t>IF_SCM_S019</t>
  </si>
  <si>
    <t>개인정보메뉴접근이력정보 송신</t>
  </si>
  <si>
    <t>IF_SCM_S020</t>
  </si>
  <si>
    <t>개인정보접속이력 송신</t>
  </si>
  <si>
    <t>IF_SCM_S021</t>
  </si>
  <si>
    <t>마이메뉴정보 송신</t>
  </si>
  <si>
    <t>IF_SCM_S022</t>
  </si>
  <si>
    <t>경주그룹코드정보 송신</t>
  </si>
  <si>
    <t>IF_SCM_S023</t>
  </si>
  <si>
    <t>경정그룹코드정보 송신</t>
  </si>
  <si>
    <t>IF_SCM_S024</t>
  </si>
  <si>
    <t>경륜그룹코드정보 송신</t>
  </si>
  <si>
    <t>IF_SCM_S025</t>
  </si>
  <si>
    <t>경주상세코드정보 송신</t>
  </si>
  <si>
    <t>IF_SCM_S026</t>
  </si>
  <si>
    <t>경정상세코드정보 송신</t>
  </si>
  <si>
    <t>IF_SCM_S027</t>
  </si>
  <si>
    <t>경륜상세코드정보 송신</t>
  </si>
  <si>
    <t>IF_SCM_S028</t>
  </si>
  <si>
    <t>경주게시판정보 송신</t>
  </si>
  <si>
    <t>IF_SCM_S029</t>
  </si>
  <si>
    <t>경정게시판정보 송신</t>
  </si>
  <si>
    <t>IF_SCM_S030</t>
  </si>
  <si>
    <t>경륜게시판정보 송신</t>
  </si>
  <si>
    <t>IF_SCM_S031</t>
  </si>
  <si>
    <t>경주게시판첨부파일정보 송신</t>
  </si>
  <si>
    <t>IF_SCM_S032</t>
  </si>
  <si>
    <t>경정게시판첨부파일정보 송신</t>
  </si>
  <si>
    <t>IF_SCM_S033</t>
  </si>
  <si>
    <t>경륜게시판첨부파일정보 송신</t>
  </si>
  <si>
    <t>IF_SCM_S034</t>
  </si>
  <si>
    <t>첨부파일관리정보 송신</t>
  </si>
  <si>
    <t>IF_SCM_S035</t>
  </si>
  <si>
    <t>경주알람정보 송신</t>
  </si>
  <si>
    <t>IF_SCM_S036</t>
  </si>
  <si>
    <t>경륜알람정보 송신</t>
  </si>
  <si>
    <t>IF_SCM_S037</t>
  </si>
  <si>
    <t>경주알람정보이력 송신</t>
  </si>
  <si>
    <t>IF_SCM_S038</t>
  </si>
  <si>
    <t>경정알람정보이력 송신</t>
  </si>
  <si>
    <t>IF_SCM_S039</t>
  </si>
  <si>
    <t>배치로그정보 송신</t>
  </si>
  <si>
    <t>IF_SCM_S040</t>
  </si>
  <si>
    <t>중복로그인정보 송신</t>
  </si>
  <si>
    <t>IF_SCM_S041</t>
  </si>
  <si>
    <t>경주우편정보송신</t>
  </si>
  <si>
    <t>IF_SCM_S042</t>
  </si>
  <si>
    <t>경정우편정보송신</t>
  </si>
  <si>
    <t>IF_SCM_S043</t>
  </si>
  <si>
    <t>배치잡정보송신</t>
  </si>
  <si>
    <t>IF_SCM_S044</t>
  </si>
  <si>
    <t>결재정보송신</t>
  </si>
  <si>
    <t>(퍼블)작성진행</t>
  </si>
  <si>
    <t>09-04 디자인 확인 되어야 하는 내용 있음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</si>
</sst>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&quot;-&quot;mm&quot;-&quot;dd"/>
    <numFmt numFmtId="166" formatCode="yyyy. M. 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rgb="FF000000"/>
      <name val="Arial"/>
      <scheme val="minor"/>
    </font>
    <font>
      <sz val="10.0"/>
      <color rgb="FFFF0000"/>
      <name val="Arial"/>
      <scheme val="minor"/>
    </font>
    <font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4BD97"/>
        <bgColor rgb="FFC4BD97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3" numFmtId="3" xfId="0" applyAlignment="1" applyBorder="1" applyFont="1" applyNumberForma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1" fillId="0" fontId="3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5" fontId="0" numFmtId="0" xfId="0" applyAlignment="1" applyFill="1" applyFont="1">
      <alignment horizontal="center" readingOrder="0" shrinkToFit="0" vertical="center" wrapText="0"/>
    </xf>
    <xf borderId="0" fillId="5" fontId="0" numFmtId="0" xfId="0" applyAlignment="1" applyFill="1" applyFont="1">
      <alignment horizontal="center" readingOrder="0" vertical="center"/>
    </xf>
    <xf borderId="0" fillId="5" fontId="0" numFmtId="0" xfId="0" applyAlignment="1" applyFill="1" applyFont="1">
      <alignment horizontal="left" readingOrder="0" shrinkToFit="0" vertical="center" wrapText="0"/>
    </xf>
    <xf borderId="0" fillId="5" fontId="0" numFmtId="164" xfId="0" applyAlignment="1" applyFill="1" applyFont="1" applyNumberFormat="1">
      <alignment horizontal="center" readingOrder="0" vertical="center"/>
    </xf>
    <xf borderId="0" fillId="5" fontId="0" numFmtId="165" xfId="0" applyAlignment="1" applyFill="1" applyFont="1" applyNumberFormat="1">
      <alignment vertical="center"/>
    </xf>
    <xf borderId="0" fillId="5" fontId="0" numFmtId="0" xfId="0" applyAlignment="1" applyFill="1" applyFont="1">
      <alignment horizontal="center" vertical="center"/>
    </xf>
    <xf borderId="0" fillId="5" fontId="0" numFmtId="0" xfId="0" applyAlignment="1" applyFill="1" applyFont="1">
      <alignment horizontal="left" vertical="center"/>
    </xf>
    <xf borderId="0" fillId="5" fontId="0" numFmtId="166" xfId="0" applyAlignment="1" applyFill="1" applyFont="1" applyNumberFormat="1">
      <alignment horizontal="center" vertical="center"/>
    </xf>
    <xf borderId="0" fillId="5" fontId="0" numFmtId="165" xfId="0" applyAlignment="1" applyFill="1" applyFont="1" applyNumberFormat="1">
      <alignment horizontal="center" vertical="center"/>
    </xf>
    <xf borderId="2" fillId="0" fontId="0" numFmtId="0" xfId="0" applyAlignment="1" applyBorder="1" applyFont="1">
      <alignment horizontal="center" readingOrder="0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2" fillId="0" fontId="0" numFmtId="0" xfId="0" applyAlignment="1" applyBorder="1" applyFont="1">
      <alignment horizontal="left" readingOrder="0" shrinkToFit="0" vertical="center" wrapText="0"/>
    </xf>
    <xf borderId="2" fillId="0" fontId="0" numFmtId="164" xfId="0" applyAlignment="1" applyBorder="1" applyFont="1" applyNumberFormat="1">
      <alignment horizontal="center" readingOrder="0" shrinkToFit="0" vertical="center" wrapText="0"/>
    </xf>
    <xf borderId="2" fillId="0" fontId="0" numFmtId="165" xfId="0" applyAlignment="1" applyBorder="1" applyFont="1" applyNumberFormat="1">
      <alignment shrinkToFit="0" vertical="center" wrapText="0"/>
    </xf>
    <xf borderId="2" fillId="0" fontId="0" numFmtId="0" xfId="0" applyAlignment="1" applyBorder="1" applyFont="1">
      <alignment horizontal="center" shrinkToFit="0" vertical="center" wrapText="0"/>
    </xf>
    <xf borderId="2" fillId="0" fontId="0" numFmtId="0" xfId="0" applyAlignment="1" applyBorder="1" applyFont="1">
      <alignment horizontal="left" shrinkToFit="0" vertical="center" wrapText="0"/>
    </xf>
    <xf borderId="2" fillId="0" fontId="0" numFmtId="166" xfId="0" applyAlignment="1" applyBorder="1" applyFont="1" applyNumberFormat="1">
      <alignment horizontal="center" shrinkToFit="0" vertical="center" wrapText="0"/>
    </xf>
    <xf borderId="2" fillId="0" fontId="0" numFmtId="165" xfId="0" applyAlignment="1" applyBorder="1" applyFont="1" applyNumberFormat="1">
      <alignment horizontal="center" readingOrder="0" shrinkToFit="0" vertical="center" wrapText="0"/>
    </xf>
    <xf borderId="2" fillId="0" fontId="0" numFmtId="165" xfId="0" applyAlignment="1" applyBorder="1" applyFont="1" applyNumberFormat="1">
      <alignment horizontal="center" shrinkToFit="0" vertical="center" wrapText="0"/>
    </xf>
    <xf borderId="2" fillId="0" fontId="0" numFmtId="0" xfId="0" applyAlignment="1" applyBorder="1" applyFont="1">
      <alignment horizontal="center" readingOrder="0" shrinkToFit="0" vertical="center" wrapText="0"/>
    </xf>
    <xf borderId="0" fillId="5" fontId="0" numFmtId="0" xfId="0" applyAlignment="1" applyFill="1" applyFont="1">
      <alignment horizontal="left" readingOrder="0" vertical="center"/>
    </xf>
    <xf borderId="0" fillId="5" fontId="0" numFmtId="165" xfId="0" applyAlignment="1" applyFill="1" applyFont="1" applyNumberFormat="1">
      <alignment horizontal="center" readingOrder="0" vertical="center"/>
    </xf>
    <xf borderId="2" fillId="0" fontId="0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0" fontId="1" numFmtId="3" xfId="0" applyAlignment="1" applyBorder="1" applyFont="1" applyNumberFormat="1">
      <alignment horizontal="center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6" fontId="1" numFmtId="0" xfId="0" applyAlignment="1" applyFill="1" applyFont="1">
      <alignment horizontal="center" readingOrder="0" vertical="center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readingOrder="0" vertical="top"/>
    </xf>
    <xf borderId="0" fillId="0" fontId="1" numFmtId="165" xfId="0" applyAlignment="1" applyFont="1" applyNumberFormat="1">
      <alignment horizontal="center" vertical="center"/>
    </xf>
    <xf borderId="0" fillId="5" fontId="0" numFmtId="165" xfId="0" applyAlignment="1" applyFill="1" applyFont="1" applyNumberFormat="1">
      <alignment horizontal="center" readingOrder="0" shrinkToFit="0" vertical="center" wrapText="0"/>
    </xf>
    <xf borderId="0" fillId="5" fontId="0" numFmtId="165" xfId="0" applyAlignment="1" applyFill="1" applyFont="1" applyNumberFormat="1">
      <alignment shrinkToFit="0" vertical="center" wrapText="0"/>
    </xf>
    <xf borderId="0" fillId="5" fontId="0" numFmtId="0" xfId="0" applyAlignment="1" applyFill="1" applyFont="1">
      <alignment horizontal="center" shrinkToFit="0" vertical="center" wrapText="0"/>
    </xf>
    <xf borderId="0" fillId="5" fontId="0" numFmtId="0" xfId="0" applyAlignment="1" applyFill="1" applyFont="1">
      <alignment horizontal="left" shrinkToFit="0" vertical="center" wrapText="0"/>
    </xf>
    <xf borderId="0" fillId="5" fontId="0" numFmtId="166" xfId="0" applyAlignment="1" applyFill="1" applyFont="1" applyNumberFormat="1">
      <alignment horizontal="center" shrinkToFit="0" vertical="center" wrapText="0"/>
    </xf>
    <xf borderId="2" fillId="8" fontId="0" numFmtId="0" xfId="0" applyAlignment="1" applyBorder="1" applyFill="1" applyFont="1">
      <alignment horizontal="center" readingOrder="0" shrinkToFit="0" vertical="center" wrapText="0"/>
    </xf>
    <xf borderId="2" fillId="8" fontId="0" numFmtId="165" xfId="0" applyAlignment="1" applyBorder="1" applyFill="1" applyFont="1" applyNumberFormat="1">
      <alignment horizontal="center" readingOrder="0" shrinkToFit="0" vertical="center" wrapText="0"/>
    </xf>
    <xf borderId="0" fillId="5" fontId="5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left" readingOrder="0" shrinkToFit="0" vertical="center" wrapText="0"/>
    </xf>
    <xf borderId="2" fillId="0" fontId="2" numFmtId="49" xfId="0" applyAlignment="1" applyBorder="1" applyFont="1" applyNumberFormat="1">
      <alignment horizontal="center" readingOrder="0" shrinkToFit="0" vertical="center" wrapText="0"/>
    </xf>
    <xf borderId="0" fillId="0" fontId="6" numFmtId="0" xfId="0" applyAlignment="1" applyFont="1">
      <alignment readingOrder="0"/>
    </xf>
    <xf borderId="0" fillId="5" fontId="0" numFmtId="164" xfId="0" applyAlignment="1" applyFill="1" applyFont="1" applyNumberFormat="1">
      <alignment horizontal="center" readingOrder="0" shrinkToFit="0" vertical="center" wrapText="0"/>
    </xf>
    <xf borderId="0" fillId="5" fontId="0" numFmtId="165" xfId="0" applyAlignment="1" applyFill="1" applyFont="1" applyNumberFormat="1">
      <alignment horizontal="center" shrinkToFit="0" vertical="center" wrapText="0"/>
    </xf>
    <xf borderId="0" fillId="0" fontId="0" numFmtId="0" xfId="0" applyAlignment="1" applyFont="1">
      <alignment horizontal="left" readingOrder="0" shrinkToFit="0" vertical="center" wrapText="0"/>
    </xf>
    <xf borderId="2" fillId="0" fontId="0" numFmtId="165" xfId="0" applyAlignment="1" applyBorder="1" applyFont="1" applyNumberFormat="1">
      <alignment horizontal="center" readingOrder="0" shrinkToFit="0" vertical="center" wrapText="0"/>
    </xf>
    <xf borderId="2" fillId="0" fontId="0" numFmtId="165" xfId="0" applyAlignment="1" applyBorder="1" applyFont="1" applyNumberFormat="1">
      <alignment shrinkToFit="0" vertical="center" wrapText="0"/>
    </xf>
    <xf borderId="2" fillId="0" fontId="0" numFmtId="0" xfId="0" applyAlignment="1" applyBorder="1" applyFont="1">
      <alignment horizontal="center" shrinkToFit="0" vertical="center" wrapText="0"/>
    </xf>
    <xf borderId="2" fillId="0" fontId="0" numFmtId="0" xfId="0" applyAlignment="1" applyBorder="1" applyFont="1">
      <alignment horizontal="left" shrinkToFit="0" vertical="center" wrapText="0"/>
    </xf>
    <xf borderId="2" fillId="0" fontId="0" numFmtId="166" xfId="0" applyAlignment="1" applyBorder="1" applyFont="1" applyNumberFormat="1">
      <alignment horizontal="center" shrinkToFit="0" vertical="center" wrapText="0"/>
    </xf>
    <xf borderId="2" fillId="0" fontId="0" numFmtId="165" xfId="0" applyAlignment="1" applyBorder="1" applyFont="1" applyNumberFormat="1">
      <alignment horizontal="center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8" fontId="0" numFmtId="0" xfId="0" applyAlignment="1" applyBorder="1" applyFill="1" applyFont="1">
      <alignment horizontal="center" readingOrder="0" shrinkToFit="0" vertical="center" wrapText="0"/>
    </xf>
    <xf borderId="2" fillId="0" fontId="5" numFmtId="0" xfId="0" applyAlignment="1" applyBorder="1" applyFont="1">
      <alignment horizontal="left" readingOrder="0" shrinkToFit="0" vertical="center" wrapText="0"/>
    </xf>
    <xf borderId="2" fillId="0" fontId="0" numFmtId="164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</dxfs>
  <tableStyles count="5">
    <tableStyle count="2" pivot="0" name="WBS(전체)-style">
      <tableStyleElement dxfId="1" type="firstRowStripe"/>
      <tableStyleElement dxfId="1" type="secondRowStripe"/>
    </tableStyle>
    <tableStyle count="4" pivot="0" name="WBS(작업용)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개요-style">
      <tableStyleElement dxfId="2" type="headerRow"/>
      <tableStyleElement dxfId="1" type="firstRowStripe"/>
      <tableStyleElement dxfId="3" type="secondRowStripe"/>
      <tableStyleElement dxfId="4" size="0" type="wholeTable"/>
    </tableStyle>
    <tableStyle count="4" pivot="0" name="인력관리-style">
      <tableStyleElement dxfId="5" type="headerRow"/>
      <tableStyleElement dxfId="1" type="firstRowStripe"/>
      <tableStyleElement dxfId="3" type="secondRowStripe"/>
      <tableStyleElement dxfId="4" size="0" type="wholeTable"/>
    </tableStyle>
    <tableStyle count="4" pivot="0" name="팝업화면식별요청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2</xdr:row>
      <xdr:rowOff>371475</xdr:rowOff>
    </xdr:from>
    <xdr:ext cx="12268200" cy="393382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</xdr:row>
      <xdr:rowOff>28575</xdr:rowOff>
    </xdr:from>
    <xdr:ext cx="7800975" cy="4429125"/>
    <xdr:pic>
      <xdr:nvPicPr>
        <xdr:cNvPr id="0" name="image1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4</xdr:row>
      <xdr:rowOff>171450</xdr:rowOff>
    </xdr:from>
    <xdr:ext cx="6200775" cy="3419475"/>
    <xdr:pic>
      <xdr:nvPicPr>
        <xdr:cNvPr id="0" name="image2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I325" sheet="WBS(작업용)"/>
  </cacheSource>
  <cacheFields>
    <cacheField name="KEY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</sharedItems>
    </cacheField>
    <cacheField name="순번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</sharedItems>
    </cacheField>
    <cacheField name="팀" numFmtId="0">
      <sharedItems>
        <s v="응용개발2팀"/>
        <s v="응용개발1팀"/>
        <s v="시스템공통"/>
      </sharedItems>
    </cacheField>
    <cacheField name="업무영역" numFmtId="0">
      <sharedItems>
        <s v="경륜(홈)"/>
        <s v="종사원평가"/>
        <s v="경정(홈)"/>
        <s v="수입·정산관리"/>
        <s v="지사운영관리"/>
        <s v="업무지원관리"/>
        <s v="매출·입장현황(통계)"/>
        <s v="정보연계"/>
        <s v="정보관리"/>
        <s v="공통"/>
        <s v="대내연계"/>
      </sharedItems>
    </cacheField>
    <cacheField name="구분" numFmtId="0">
      <sharedItems>
        <s v="온라인"/>
        <s v="배치"/>
        <s v="인터페이스"/>
      </sharedItems>
    </cacheField>
    <cacheField name="유형" numFmtId="0">
      <sharedItems>
        <s v="화면"/>
        <s v="팝업"/>
        <s v="배치"/>
        <s v="인터페이스"/>
      </sharedItems>
    </cacheField>
    <cacheField name="프로그램ID" numFmtId="0">
      <sharedItems>
        <s v="PI_JA011M01"/>
        <s v="PI_JA012M01"/>
        <s v="PI_JA013M01"/>
        <s v="PI_JA014M01"/>
        <s v="PI_JA015M01"/>
        <s v="PI_JA015P01"/>
        <s v="PI_JA016M01"/>
        <s v="PI_JA016P01"/>
        <s v="PI_JA017M01"/>
        <s v="PI_JA018M01"/>
        <s v="PI_FA011M01"/>
        <s v="PI_FA011P01"/>
        <s v="PI_FA011P02"/>
        <s v="PI_FA012M01"/>
        <s v="PI_FA012T01"/>
        <s v="PI_FA012T02"/>
        <s v="PI_FA013M01"/>
        <s v="PI_FA014M01"/>
        <s v="PI_FA021M01"/>
        <s v="PI_FA021P01"/>
        <s v="PI_FA022M01"/>
        <s v="PI_FA023M01"/>
        <s v="PI_FA024M01"/>
        <s v="PI_FA025M01"/>
        <s v="PI_FA025T01"/>
        <s v="PI_FA025T02"/>
        <s v="PI_FA026M01"/>
        <s v="PI_FA027M01"/>
        <s v="PI_FA031M01"/>
        <s v="PI_FA032M01"/>
        <s v="PI_FA032P01"/>
        <s v="PI_FA033M01"/>
        <s v="PI_FA041M01"/>
        <s v="PI_FA042M01"/>
        <s v="PI_FA043M01"/>
        <s v="PI_FA044M01"/>
        <s v="PI_FA044T01"/>
        <s v="PI_FA044T02"/>
        <s v="PI_FA045M01"/>
        <s v="PI_FA046M01"/>
        <s v="PI_FA046T01"/>
        <s v="PI_FA046T02"/>
        <s v="PI_FA047M01"/>
        <s v="PI_FA048M01"/>
        <s v="PI_FA049M01"/>
        <s v="PI_FA04AM01"/>
        <s v="PI_FA051M01"/>
        <s v="PI_FA052M01"/>
        <s v="PI_FA053M01"/>
        <s v="PI_FA053T01"/>
        <s v="PI_FA053T02"/>
        <s v="PI_FA053T03"/>
        <s v="PI_FA054M01"/>
        <s v="PI_FA055M01"/>
        <s v="PI_FA061M01"/>
        <s v="PI_FA062M01"/>
        <s v="PI_FA081P01"/>
        <s v="PI_FA082P01"/>
        <s v="PI_FA083P01"/>
        <s v="PI_FA084P01"/>
        <s v="PI_FA085P01"/>
        <s v="PI_EA011M01"/>
        <s v="PI_EA012M01"/>
        <s v="PI_EA013M01"/>
        <s v="PI_EA014M01"/>
        <s v="PI_EA015M01"/>
        <s v="PI_EA015P01"/>
        <s v="PI_EA016M01"/>
        <s v="PI_EA016P01"/>
        <s v="PI_EA017M01"/>
        <s v="PI_RA011M01"/>
        <s v="PI_RA012M01"/>
        <s v="PI_RA021M01"/>
        <s v="PI_RA031M01"/>
        <s v="PI_RA032M01"/>
        <s v="PI_RA033M01"/>
        <s v="PI_RA034M01"/>
        <s v="PI_RA035M01"/>
        <s v="PI_RA036M01"/>
        <s v="PI_RA037M01"/>
        <s v="PI_RA041M01"/>
        <s v="PI_RA042M01"/>
        <s v="PI_RA043M01"/>
        <s v="PI_RA044M01"/>
        <s v="PI_RA045M01"/>
        <s v="PI_RA046M01"/>
        <s v="PI_RA049M01"/>
        <s v="PI_RA04AM01"/>
        <s v="PI_RA04BM01"/>
        <s v="PI_RA047M01"/>
        <s v="PI_RA048M01"/>
        <s v="PI_RA051M01"/>
        <s v="PI_RA052M01"/>
        <s v="PI_RA061M01"/>
        <s v="PI_RA071M01"/>
        <s v="PI_RA072M01"/>
        <s v="PI_RA073M01"/>
        <s v="PI_RA074M01"/>
        <s v="PI_RA075M01"/>
        <s v="PI_RA076M01"/>
        <s v="PI_RA077M01"/>
        <s v="PI_RA078M01"/>
        <s v="PI_RA079M01"/>
        <s v="PI_RC011M01"/>
        <s v="PI_RC012M01"/>
        <s v="PI_RC013M01"/>
        <s v="PI_RC014M01"/>
        <s v="PI_RC015M01"/>
        <s v="PI_RC016M01"/>
        <s v="PI_RC017M01"/>
        <s v="PI_RC018M01"/>
        <s v="PI_RC019M01"/>
        <s v="PI_RC021M01"/>
        <s v="PI_RC022M01"/>
        <s v="PI_RC023M01"/>
        <s v="PI_RC031M01"/>
        <s v="PI_RC032M01"/>
        <s v="PI_RC033M01"/>
        <s v="PI_RC034M01"/>
        <s v="PI_RC035M01"/>
        <s v="PI_RC036M01"/>
        <s v="PI_RC041M01"/>
        <s v="PI_RC051M01"/>
        <s v="PI_RC061M01"/>
        <s v="PI_RC062M01"/>
        <s v="PI_RC071M01"/>
        <s v="PI_RC072M01"/>
        <s v="PI_RC072T01"/>
        <s v="PI_RC072T02"/>
        <s v="PI_RC073M01"/>
        <s v="PI_RC074M01"/>
        <s v="PI_RC074T01"/>
        <s v="PI_RC081M01"/>
        <s v="PI_RB011M01"/>
        <s v="PI_RB012M01"/>
        <s v="PI_RB012T01"/>
        <s v="PI_RB012R01"/>
        <s v="PI_RB013M01"/>
        <s v="PI_RB014M01"/>
        <s v="PI_RB014P01"/>
        <s v="PI_RB014R01"/>
        <s v="PI_RB015M01"/>
        <s v="PI_RB016M01"/>
        <s v="PI_RB017M01"/>
        <s v="PI_RB018M01"/>
        <s v="PI_RB019M01"/>
        <s v="PI_RB019T01"/>
        <s v="PI_RB021M01"/>
        <s v="PI_RB022M01"/>
        <s v="PI_RB023M01"/>
        <s v="PI_RB024M01"/>
        <s v="PI_RB025M01"/>
        <s v="PI_RB031M01"/>
        <s v="PI_RB031P01"/>
        <s v="PI_RB032M01"/>
        <s v="PI_RB033M01"/>
        <s v="PI_RB034M01"/>
        <s v="PI_RB034P01"/>
        <s v="PI_RB041M01"/>
        <s v="PI_RB042M01"/>
        <s v="PI_RB042T01"/>
        <s v="PI_RB043M01"/>
        <s v="PI_RB043P01"/>
        <s v="PI_RB044M01"/>
        <s v="PI_RB051M01"/>
        <s v="PI_RB054M01"/>
        <s v="PI_RB055M01"/>
        <s v="PI_RB055T01"/>
        <s v="PI_RB055T02"/>
        <s v="PI_RB055T03"/>
        <s v="PI_RB055T04"/>
        <s v="PI_RB055T05"/>
        <s v="PI_RB055T06"/>
        <s v="PI_RB056M01"/>
        <s v="PI_RB056T01"/>
        <s v="PI_RB056T02"/>
        <s v="PI_RB056T03"/>
        <s v="PI_RB056T04"/>
        <s v="PI_RB056T05"/>
        <s v="PI_RB056T06"/>
        <s v="PI_RB057M01"/>
        <s v="PI_RB057T01"/>
        <s v="PI_RB057T02"/>
        <s v="PI_RB057T03"/>
        <s v="PI_RB057T04"/>
        <s v="PI_RB057T05"/>
        <s v="PI_RB057T06"/>
        <s v="PI_RB052M01"/>
        <s v="PI_RB053M01"/>
        <s v="PI_RB061M01"/>
        <s v="PI_RB061T01"/>
        <s v="PI_RB062M01"/>
        <s v="PI_RB066M01"/>
        <s v="PI_RB066T01"/>
        <s v="PI_RB067M01"/>
        <s v="PI_RB068M01"/>
        <s v="PI_RB063M01"/>
        <s v="PI_RB064M01"/>
        <s v="PI_RB064T01"/>
        <s v="PI_RB065M01"/>
        <s v="PI_RB065T01"/>
        <s v="PI_RB069M01"/>
        <s v="PI_RB071M01"/>
        <s v="PI_RB072M01"/>
        <s v="PI_RB072T01"/>
        <s v="PI_RB072T02"/>
        <s v="PI_RB073M01"/>
        <s v="PI_RB074M01"/>
        <s v="PI_RB074T01"/>
        <s v="PI_RD011M01"/>
        <s v="PI_RD012M01"/>
        <s v="PI_RD013M01"/>
        <s v="PI_RD014M01"/>
        <s v="PI_RD015M01"/>
        <s v="PI_RD015T01"/>
        <s v="PI_RD016M01"/>
        <s v="PI_RD017M01"/>
        <s v="PI_RD017T01"/>
        <s v="PI_RD018M01"/>
        <s v="PI_RD021M01"/>
        <s v="PI_RD031M01"/>
        <s v="PI_RD041M01"/>
        <s v="PI_RD042M01"/>
        <s v="PI_RE011M01"/>
        <s v="PI_RF011M01"/>
        <s v="PI_RF021M01"/>
        <s v="PI_comSrchUser"/>
        <s v="PI_comSrchTempUser"/>
        <s v="PI_comSrchEvUser"/>
        <s v="PI_comPMsgDialog"/>
        <s v="PI_comExcelDown"/>
        <s v="PI_comMultiExcelDown"/>
        <s v="PI_comSendSms"/>
        <s v="PI_comLogin"/>
        <s v="PI_comDeptTree"/>
        <s v="PI_comMain"/>
        <s v="PI_comMyMenu"/>
        <s v="PI_comSiteMap"/>
        <s v="PI_comHelpInfo"/>
        <s v="PI_comAddressInfo"/>
        <s v="PI_comReportViewer"/>
        <s v="PI_comPersonalmnRsn"/>
        <s v="PI_ZA011M01"/>
        <s v="PI_ZB011M01"/>
        <s v="PI_ZB011T01"/>
        <s v="PI_ZB011T02"/>
        <s v="PI_ZB011T03"/>
        <s v="PI_ZB011P01"/>
        <s v="PI_ZB021M01"/>
        <s v="PI_ZC011M01"/>
        <s v="PI_ZC021M01"/>
        <s v="PI_ZC031M01"/>
        <s v="PI_ZD011M01"/>
        <s v="PI_ZD021M01"/>
        <s v="PI_ZE011M01"/>
        <s v="PI_ZE021M01"/>
        <s v="PI_ZF011M01"/>
        <s v="PI_ZF021M01"/>
        <s v="PI_ZG011M01"/>
        <s v="PI_ZG021M01"/>
        <s v="PI_ZG031M01"/>
        <s v="PI_ZG041M01"/>
        <s v="PI_ZG041P01"/>
        <s v="PI_ZG051M01"/>
        <s v="PI_ZG061M01"/>
        <s v="PI_ZH011M01"/>
        <s v="PI_ZH021M01"/>
        <s v="PI_ZZ011M01"/>
        <s v="B_SCM_A1"/>
        <s v="B_SCM_B1"/>
        <s v="B_SCM_C1"/>
        <s v="B_SCM_D1"/>
        <s v="B_SCM_E1"/>
        <s v="IF_SCM_R001"/>
        <s v="IF_SCM_R002"/>
        <s v="IF_SCM_R003"/>
        <s v="IF_SCM_R004"/>
        <s v="IF_SCM_R005"/>
        <s v="IF_SCM_R006"/>
        <s v="IF_SCM_R007"/>
        <s v="IF_SCM_S001"/>
        <s v="IF_SCM_S002"/>
        <s v="IF_SCM_S003"/>
        <s v="IF_SCM_S004"/>
        <s v="IF_SCM_S005"/>
        <s v="IF_SCM_S006"/>
        <s v="IF_SCM_S007"/>
        <s v="IF_SCM_S008"/>
        <s v="IF_SCM_S009"/>
        <s v="IF_SCM_S010"/>
        <s v="IF_SCM_S011"/>
        <s v="IF_SCM_S012"/>
        <s v="IF_SCM_S013"/>
        <s v="IF_SCM_S014"/>
        <s v="IF_SCM_S015"/>
        <s v="IF_SCM_S016"/>
        <s v="IF_SCM_S017"/>
        <s v="IF_SCM_S018"/>
        <s v="IF_SCM_S019"/>
        <s v="IF_SCM_S020"/>
        <s v="IF_SCM_S021"/>
        <s v="IF_SCM_S022"/>
        <s v="IF_SCM_S023"/>
        <s v="IF_SCM_S024"/>
        <s v="IF_SCM_S025"/>
        <s v="IF_SCM_S026"/>
        <s v="IF_SCM_S027"/>
        <s v="IF_SCM_S028"/>
        <s v="IF_SCM_S029"/>
        <s v="IF_SCM_S030"/>
        <s v="IF_SCM_S031"/>
        <s v="IF_SCM_S032"/>
        <s v="IF_SCM_S033"/>
        <s v="IF_SCM_S034"/>
        <s v="IF_SCM_S035"/>
        <s v="IF_SCM_S036"/>
        <s v="IF_SCM_S037"/>
        <s v="IF_SCM_S038"/>
        <s v="IF_SCM_S039"/>
        <s v="IF_SCM_S040"/>
        <s v="IF_SCM_S041"/>
        <s v="IF_SCM_S042"/>
        <s v="IF_SCM_S043"/>
        <s v="IF_SCM_S044"/>
      </sharedItems>
    </cacheField>
    <cacheField name="프로그램명" numFmtId="0">
      <sharedItems>
        <s v="평가항목통합관리"/>
        <s v="후보생현황관리"/>
        <s v="선발측정현황"/>
        <s v="면접현황관리"/>
        <s v="자전거실기"/>
        <s v="자전거실기(검사내용입력)"/>
        <s v="체력측정"/>
        <s v="체력측정(검사내용입력)"/>
        <s v="후보생선발접수"/>
        <s v="선발접수현황"/>
        <s v="평가생성"/>
        <s v="평가생성(담당자조회)"/>
        <s v="기초자료생성연동 팝업"/>
        <s v="평가항목생성"/>
        <s v="평가항목생성(근무실적)"/>
        <s v="평가항목생성(서비스평가)"/>
        <s v="성과등급기준"/>
        <s v="평가배분표생성"/>
        <s v="평가대상선정"/>
        <s v="평가대상상세조회(발령일자조회)"/>
        <s v="평가부서관리"/>
        <s v="부서별담당자선정"/>
        <s v="부서별대상자확정"/>
        <s v="부서별평가자선정"/>
        <s v="부서별평가자선정(근무실적평가)"/>
        <s v="부서별평가자선정(서비스평가)"/>
        <s v="평가제외추가"/>
        <s v="평가자그룹선정"/>
        <s v="역량평가"/>
        <s v="근무실적평가"/>
        <s v="근태세부조회"/>
        <s v="서비스평가"/>
        <s v="평가진행현황(총괄)"/>
        <s v="부서별준비현황"/>
        <s v="평가진행현황"/>
        <s v="부서별진행현황"/>
        <s v="부서별진행현황(근무실적평가현황)"/>
        <s v="지급조서교차(수신, 시행처에서 본장으로)"/>
        <s v="부서별승인현황"/>
        <s v="부서별 평가자재선정(역량평가)"/>
        <s v="부서별 평가자재선정(근무실적평가)"/>
        <s v="부서별 평가자재선정(서비스평가)"/>
        <s v="비밀번호초기화"/>
        <s v="근무태도조회"/>
        <s v="서비스평가조회"/>
        <s v="발매제외기간관리"/>
        <s v="최종종합평가"/>
        <s v="개인별평가상세"/>
        <s v="항목별 세부평가내역(역량평가)"/>
        <s v="항목별 세부평가내역(근무실적)"/>
        <s v="항목별 세부평가내역(서비스평가)"/>
        <s v="항목별 세부평가내역(세부항목전체)"/>
        <s v="개인별순위"/>
        <s v="연속등급조회"/>
        <s v="내부평사성과급기준"/>
        <s v="내부평가성과급산정"/>
        <s v="직종보직 팝업"/>
        <s v="쪽지 팝업"/>
        <s v="SMS 팝업"/>
        <s v="부서별평가자조회 팝업"/>
        <s v="근무지조회 팝업"/>
        <s v="신체검사"/>
        <s v="신체검사(검사내용입력)"/>
        <s v="기초체력검사"/>
        <s v="기초체력검사(검사내용입력)"/>
        <s v="매출목표관리"/>
        <s v="매출목표예측"/>
        <s v="입장좌석이용료 검증"/>
        <s v="발매연계현황"/>
        <s v="마감정산자료연계현황"/>
        <s v="마감정산자료검증 대장"/>
        <s v="마감정산자료 검증 1차"/>
        <s v="마감정산자료 검증 2차"/>
        <s v="마감정산자료 검증 실시간"/>
        <s v="환불액 입력"/>
        <s v="일일발매실적관리"/>
        <s v="전자카드 은행거래 내역"/>
        <s v="전자카드 은행기간별 내역"/>
        <s v="경주·승식별 매출 실적 관리"/>
        <s v="지사별 매출 실적 관리"/>
        <s v="밸런스조회 관리"/>
        <s v="밸런스조회 결과"/>
        <s v="밸런스입력 관리"/>
        <s v="밸런스입력 결과"/>
        <s v="경주수입처리 오류관리"/>
        <s v="전자카드 은행거래 현황"/>
        <s v="기타소득세 관리"/>
        <s v="레저세 조회"/>
        <s v="지사입금 관리"/>
        <s v="발매고유번호 조회"/>
        <s v="발매고유번호를 통한 발매내역 조회 및 발매고유번호 검증/조회"/>
        <s v="TF 관리(경주권분실신고)"/>
        <s v="지불정지 해지 관리(경주권분실신고)"/>
        <s v="경주권번호 검증 관리(경주권분실신고)"/>
        <s v="분실신고 온라인 접수(경주권분실신고)"/>
        <s v="분실신고 관리(경주권분실신고)"/>
        <s v="경주권분실 만기/만료 관리(경주권분실신고)"/>
        <s v="경주권분실 환급 관리(경주권분실신고)"/>
        <s v="지급조서관리(입력)"/>
        <s v="지급조서관리"/>
        <s v="지급조서교차(송신, 본점에서 시행체로)"/>
        <s v="지급조서 검증"/>
        <s v="지급조서 확정"/>
        <s v="지사 기본정보 관리"/>
        <s v="지사 좌석현황 관리"/>
        <s v="지사 매출 목표액 관리"/>
        <s v="지사 발매기 자산 관리"/>
        <s v="발매기 유지보수 이력 관리"/>
        <s v="지사 투표소 현황 관리"/>
        <s v="용지입고"/>
        <s v="용지 입고 결재"/>
        <s v="용지 출고"/>
        <s v="용지 지사간이동"/>
        <s v="용지 현황"/>
        <s v="관리자 재고 조정"/>
        <s v="지사의 지정좌석실 현황"/>
        <s v="발매원 관리"/>
        <s v="자발적 입장거부 입력"/>
        <s v="자발적 입장거부 현황"/>
        <s v="사감위 위반사항 관리(적발건수)"/>
        <s v="사감위 위반사항 조회(적발건수 지사별)"/>
        <s v="사감위 위반사항 조회(적발건수 월별별)"/>
        <s v="사감위 위반사항 조회(적발건수 연도별)"/>
        <s v="사감위 위반사항 결과 등록(삼진아웃활동)"/>
        <s v="사감위 위반사항 결과 총괄표(삼진아웃활동 지사별 활동결과)"/>
        <s v="사감위 위반사항 결과 총괄표(삼진아웃활동 결과총괄표)"/>
        <s v="계도실적관리"/>
        <s v="경륜준비상황 보고관리"/>
        <s v="경륜준비상황 보고확인(점검사항)"/>
        <s v="경륜준비상황 보고확인(지시사항)"/>
        <s v="경륜준비상황 보고서"/>
        <s v="경륜개최결과 관리"/>
        <s v="경륜개최결과 현황"/>
        <s v="경륜개최결과 승식별 배당률"/>
        <s v="경륜개최결과 보고서"/>
        <s v="경륜특이사항 관리"/>
        <s v="경륜특이사항 상세"/>
        <s v="경륜개최결과 요약"/>
        <s v="경륜경주결과 관리"/>
        <s v="경륜경주결과보고 관리"/>
        <s v="경륜경주결과보고 관리(지사별 매출현황)"/>
        <s v="경정 준비상황 보고관리"/>
        <s v="경정 준비상황 보고서 전자결재 연동"/>
        <s v="경정 상황일지 관리"/>
        <s v="경정 개최결과 보고관리"/>
        <s v="경정 개최결과 보고서 전자결재 연동(경정기획팀 팀장)"/>
        <s v="소모품등록 관리"/>
        <s v="소모품주문 관리"/>
        <s v="소모품신청 관리"/>
        <s v="소모품신청 현황"/>
        <s v="소모품대장 관리"/>
        <s v="소모품목록 관리"/>
        <s v="행사일정 관리"/>
        <s v="신청자 관리(On-Line, 홈페이지)"/>
        <s v="신청자 관리(Off-Line)"/>
        <s v="명예심판선정 관리"/>
        <s v="명예심판등록 관리"/>
        <s v="개인별 선정내역"/>
        <s v="실시간 매출액 변동 현황"/>
        <s v="매출이상징후 관리"/>
        <s v="지사별 발매건수 관리(전체)"/>
        <s v="지사별 발매건수 관리(현금, 합계)"/>
        <s v="지사별 발매건수 관리(현금 유인)"/>
        <s v="지사별 발매건수 관리(현금 무인)"/>
        <s v="지사별 발매건수 관리(스피드온, 전자카드)"/>
        <s v="지사별 발매건수 관리(전자카드단말)"/>
        <s v="지사별 발매건수 관리(스피드온)"/>
        <s v="요일별 발매건수 관리(전체)"/>
        <s v="요일별 발매건수 관리(현금, 합계)"/>
        <s v="요일별 발매건수 관리(현금 유인)"/>
        <s v="요일별 발매건수 관리(현금 무인)"/>
        <s v="요일별 발매건수 관리(스피드온, 전자카드)"/>
        <s v="요일별 발매건수 관리(전자카드단말)"/>
        <s v="요일별 발매건수 관리(스피드온)"/>
        <s v="일자별 발매건수 관리(전체)"/>
        <s v="일자별 발매건수 관리(현금, 합계)"/>
        <s v="일자별 발매건수 관리(현금 유인)"/>
        <s v="일자별 발매건수 관리(현금 무인)"/>
        <s v="일자별 발매건수 관리(스피드온, 전자카드)"/>
        <s v="일자별 발매건수 관리(전자카드단말)"/>
        <s v="일자별 발매건수 관리(스피드온)"/>
        <s v="발매모니터링 이상징후 감지 및 알림"/>
        <s v="발매기 모니터링 화면 연계"/>
        <s v="총량준수율(순매출액, TapPage)"/>
        <s v="총량준수율(총매출액, TapPage)"/>
        <s v="장외지사 매출비율"/>
        <s v="교차투표율(교차투표율, TapPage)"/>
        <s v="교차투표율(교차경기수, TapPage)"/>
        <s v="매출총량 예상도달일"/>
        <s v="SMS발송관리"/>
        <s v="건전화평가총괄표 관리"/>
        <s v="건전화평가계량 현황(경륜)"/>
        <s v="건전화평가계량 현황(경정)"/>
        <s v="건전화예산편성 및 집행 관리(경륜)"/>
        <s v="건전화예산편성 및 집행 관리(경정)"/>
        <s v="건전화평가 지표 관리"/>
        <s v="경주일 상황판 Excel, PDF 다운로드, 온/오프라인 조회"/>
        <s v="매출조회 Excel, PDF 다운로드, 온/오프라인 조회"/>
        <s v="매출총량 Excel, PDF 다운로드, 온/오프라인 조회"/>
        <s v="매출 추이를 그래프 형태로 출력 및 PDF 다운로드, 온/오프라일 조회"/>
        <s v="순매출 기준 매출 정보 분석하는 기능 Excel, PDF 다운로드, 온/오프라일 조회"/>
        <s v="금액구간별 발매 정보 분석하는 기능 Excel, PDF 다운로드, 온/오프라일 조회"/>
        <s v="입장인원 조회 Excel, PDF 다운로드, 온/오프라일 조회"/>
        <s v="경주 매출결과 보고서 전자결재 연동, Excel, PDF 다운로드, 온/오프라인 조회"/>
        <s v="PROCEDURE 통합 모니터링(SFR-RBM-020 ~ SFR-RBM-025 )"/>
        <s v="경주일 발매 현황(발매시간/발매진행이력)"/>
        <s v="사용자 동적검색"/>
        <s v="회원조회팝업"/>
        <s v="임시사용자조회팝업"/>
        <s v="평가사용자조회팝업"/>
        <s v="공통메시지팝업"/>
        <s v="공통엑셀다운로드팝업"/>
        <s v="공통멀티엑셀다운로드팝업"/>
        <s v="SMS전송팝업"/>
        <s v="로그인"/>
        <s v="부서조회팝업"/>
        <s v="메인"/>
        <s v="마이메뉴"/>
        <s v="사이트맵"/>
        <s v="공통웹도움말팝업"/>
        <s v="공통주소조회팝업"/>
        <s v="공통레포트뷰어팝업"/>
        <s v="개인정보처리사유입력팝업"/>
        <s v="메뉴관리"/>
        <s v="사용자관리"/>
        <s v="사용자목록"/>
        <s v="임시사용자목록"/>
        <s v="평가사용자목록"/>
        <s v="비밀번호변경팝업"/>
        <s v="부서이동자관리"/>
        <s v="전자결재기준관리"/>
        <s v="전자결재현황조회"/>
        <s v="심판결재선지정"/>
        <s v="알림사용자관리"/>
        <s v="알림발송관리"/>
        <s v="연계모니터링관리"/>
        <s v="교차모니터링관리"/>
        <s v="공지사항관리"/>
        <s v="Q&amp;A관리"/>
        <s v="권한그룹관리"/>
        <s v="메뉴별권한관리"/>
        <s v="권한부여자관리"/>
        <s v="개인정보처리메뉴권한관리"/>
        <s v="개인정보처리권한허용IP관리"/>
        <s v="개인정보처리메뉴권한부여현황"/>
        <s v="개인정보처리메뉴작업로그"/>
        <s v="배치로그조회"/>
        <s v="웹로그조회"/>
        <s v="코드관리"/>
        <s v="배치오류메시지전송"/>
        <s v="SMS중계서버상태확인"/>
        <s v="홈페이지회원수조회"/>
        <s v="DB접속상태체크(공단본부,그룹웨어)"/>
        <s v="사용자정보저장"/>
        <s v="그룹웨어사용자정보수신"/>
        <s v="그룹웨어DB접속가능정보수신"/>
        <s v="그룹웨어부서정보수신"/>
        <s v="임시사용자 (지원직 및 텔러)정보 수신"/>
        <s v="스피드온개인정보처리고객명단 수신"/>
        <s v="공단본부주전산DB접속가능정보수신"/>
        <s v="투표소그룹코드정보 수신"/>
        <s v="전체사용자정보 송신"/>
        <s v="발매전산팀정보 송신"/>
        <s v="경륜사용자정보 송신"/>
        <s v="경정사용자정보 송신"/>
        <s v="사용자접속정보 송신"/>
        <s v="평가사용자정보 송신"/>
        <s v="관리자정보 송신"/>
        <s v="부서정보 송신"/>
        <s v="부서권한정보송신"/>
        <s v="경주메뉴정보 송신"/>
        <s v="경정메뉴정보 송신"/>
        <s v="경륜메뉴정보 송신"/>
        <s v="경주메뉴권한정보 송신"/>
        <s v="경정메뉴권한정보 송신"/>
        <s v="경륜메뉴권한정보 송신"/>
        <s v="경주메뉴권한이력정보 송신"/>
        <s v="경정메뉴권한이력정보 송신"/>
        <s v="개인정보메뉴접근정보 송신"/>
        <s v="개인정보메뉴접근이력정보 송신"/>
        <s v="개인정보접속이력 송신"/>
        <s v="마이메뉴정보 송신"/>
        <s v="경주그룹코드정보 송신"/>
        <s v="경정그룹코드정보 송신"/>
        <s v="경륜그룹코드정보 송신"/>
        <s v="경주상세코드정보 송신"/>
        <s v="경정상세코드정보 송신"/>
        <s v="경륜상세코드정보 송신"/>
        <s v="경주게시판정보 송신"/>
        <s v="경정게시판정보 송신"/>
        <s v="경륜게시판정보 송신"/>
        <s v="경주게시판첨부파일정보 송신"/>
        <s v="경정게시판첨부파일정보 송신"/>
        <s v="경륜게시판첨부파일정보 송신"/>
        <s v="첨부파일관리정보 송신"/>
        <s v="경주알람정보 송신"/>
        <s v="경륜알람정보 송신"/>
        <s v="경주알람정보이력 송신"/>
        <s v="경정알람정보이력 송신"/>
        <s v="배치로그정보 송신"/>
        <s v="중복로그인정보 송신"/>
        <s v="경주우편정보송신"/>
        <s v="경정우편정보송신"/>
        <s v="배치잡정보송신"/>
        <s v="결재정보송신"/>
      </sharedItems>
    </cacheField>
    <cacheField name="개발자" numFmtId="0">
      <sharedItems containsBlank="1">
        <s v="TBD02"/>
        <s v="전은우"/>
        <s v="이주환"/>
        <s v="김소연"/>
        <s v="전대섭"/>
        <s v="TBD"/>
        <s v="최영중"/>
        <s v="송영욱"/>
        <s v="장승현"/>
        <s v="정다빈"/>
        <m/>
      </sharedItems>
    </cacheField>
    <cacheField name="개발시작일" numFmtId="164">
      <sharedItems containsDate="1" containsString="0" containsBlank="1">
        <d v="2026-09-09T00:00:00Z"/>
        <d v="2026-10-11T00:00:00Z"/>
        <d v="2026-11-14T00:00:00Z"/>
        <d v="2026-09-17T00:00:00Z"/>
        <d v="2026-11-19T00:00:00Z"/>
        <d v="2026-11-21T00:00:00Z"/>
        <d v="2026-11-25T00:00:00Z"/>
        <d v="2026-11-28T00:00:00Z"/>
        <d v="2026-10-30T00:00:00Z"/>
        <d v="2026-11-07T00:00:00Z"/>
        <d v="2026-09-16T00:00:00Z"/>
        <d v="2026-09-02T00:00:00Z"/>
        <d v="2026-09-12T00:00:00Z"/>
        <d v="2026-09-29T00:00:00Z"/>
        <d v="2026-10-01T00:00:00Z"/>
        <d v="2026-10-10T00:00:00Z"/>
        <d v="2026-10-14T00:00:00Z"/>
        <d v="2026-10-18T00:00:00Z"/>
        <d v="2026-10-21T00:00:00Z"/>
        <d v="2026-10-04T00:00:00Z"/>
        <d v="2026-10-16T00:00:00Z"/>
        <d v="2026-10-23T00:00:00Z"/>
        <d v="2026-10-28T00:00:00Z"/>
        <d v="2026-10-29T00:00:00Z"/>
        <d v="2026-11-22T00:00:00Z"/>
        <d v="2026-11-01T00:00:00Z"/>
        <d v="2026-11-11T00:00:00Z"/>
        <d v="2026-10-31T00:00:00Z"/>
        <d v="2026-11-15T00:00:00Z"/>
        <d v="2026-11-18T00:00:00Z"/>
        <d v="2026-11-26T00:00:00Z"/>
        <d v="2026-11-29T00:00:00Z"/>
        <d v="2026-10-15T00:00:00Z"/>
        <d v="2026-10-24T00:00:00Z"/>
        <d v="2026-11-06T00:00:00Z"/>
        <d v="2026-11-08T00:00:00Z"/>
        <d v="2026-11-12T00:00:00Z"/>
        <d v="2026-09-30T00:00:00Z"/>
        <d v="2026-10-02T00:00:00Z"/>
        <d v="2026-10-07T00:00:00Z"/>
        <d v="2026-09-18T00:00:00Z"/>
        <d v="2026-11-20T00:00:00Z"/>
        <d v="2026-11-13T00:00:00Z"/>
        <d v="2026-12-16T00:00:00Z"/>
        <d v="2026-12-03T00:00:00Z"/>
        <d v="2026-12-05T00:00:00Z"/>
        <d v="2026-12-06T00:00:00Z"/>
        <d v="2026-12-10T00:00:00Z"/>
        <d v="2026-09-05T00:00:00Z"/>
        <d v="2026-09-11T00:00:00Z"/>
        <d v="2026-09-13T00:00:00Z"/>
        <d v="2026-09-19T00:00:00Z"/>
        <d v="2026-09-23T00:00:00Z"/>
        <d v="2026-12-13T00:00:00Z"/>
        <d v="2026-10-08T00:00:00Z"/>
        <d v="2026-12-19T00:00:00Z"/>
        <d v="2026-12-20T00:00:00Z"/>
        <d v="2026-11-04T00:00:00Z"/>
        <d v="2026-09-20T00:00:00Z"/>
        <d v="2026-09-25T00:00:00Z"/>
        <d v="2026-09-27T00:00:00Z"/>
        <d v="2026-11-27T00:00:00Z"/>
        <d v="2026-12-04T00:00:00Z"/>
        <d v="2026-10-17T00:00:00Z"/>
        <d v="2026-10-25T00:00:00Z"/>
        <d v="2026-12-12T00:00:00Z"/>
        <d v="2026-12-26T00:00:00Z"/>
        <d v="2026-12-09T00:00:00Z"/>
        <d v="2026-12-11T00:00:00Z"/>
        <d v="2026-12-30T00:00:00Z"/>
        <d v="2026-12-17T00:00:00Z"/>
        <d v="2026-12-23T00:00:00Z"/>
        <d v="2026-12-27T00:00:00Z"/>
        <d v="2026-12-31T00:00:00Z"/>
        <d v="2026-12-07T00:00:00Z"/>
        <d v="2026-11-05T00:00:00Z"/>
        <d v="2026-12-24T00:00:00Z"/>
        <d v="2026-10-03T00:00:00Z"/>
        <d v="2026-10-22T00:00:00Z"/>
        <m/>
      </sharedItems>
    </cacheField>
    <cacheField name="개발완료일">
      <sharedItems containsDate="1" containsBlank="1" containsMixedTypes="1">
        <d v="2026-09-17T00:00:00Z"/>
        <d v="2026-10-18T00:00:00Z"/>
        <d v="2026-11-19T00:00:00Z"/>
        <d v="2026-09-23T00:00:00Z"/>
        <d v="2026-11-22T00:00:00Z"/>
        <d v="2026-11-29T00:00:00Z"/>
        <d v="2026-11-06T00:00:00Z"/>
        <d v="2026-11-08T00:00:00Z"/>
        <d v="2026-09-30T00:00:00Z"/>
        <d v="2026-09-11T00:00:00Z"/>
        <d v="2026-09-13T00:00:00Z"/>
        <d v="2026-10-07T00:00:00Z"/>
        <d v="2026-10-11T00:00:00Z"/>
        <d v="2026-10-17T00:00:00Z"/>
        <d v="2026-10-25T00:00:00Z"/>
        <d v="2026-10-15T00:00:00Z"/>
        <d v="2026-10-22T00:00:00Z"/>
        <d v="2026-10-28T00:00:00Z"/>
        <d v="2026-10-31T00:00:00Z"/>
        <d v="2026-11-15T00:00:00Z"/>
        <d v="2026-10-30T00:00:00Z"/>
        <d v="2026-11-14T00:00:00Z"/>
        <d v="2026-11-25T00:00:00Z"/>
        <d v="2026-11-28T00:00:00Z"/>
        <d v="2026-11-30T00:00:00Z"/>
        <d v="2026-10-23T00:00:00Z"/>
        <d v="2026-11-05T00:00:00Z"/>
        <d v="2026-11-07T00:00:00Z"/>
        <d v="2026-11-11T00:00:00Z"/>
        <d v="2026-11-13T00:00:00Z"/>
        <d v="2026-10-01T00:00:00Z"/>
        <d v="2026-10-02T00:00:00Z"/>
        <d v="2026-10-08T00:00:00Z"/>
        <d v="2026-10-10T00:00:00Z"/>
        <d v="2026-11-21T00:00:00Z"/>
        <d v="2026-11-18T00:00:00Z"/>
        <d v="2026-10-29T00:00:00Z"/>
        <d v="2026-12-18T00:00:00Z"/>
        <d v="2026-11-27T00:00:00Z"/>
        <d v="2026-12-02T00:00:00Z"/>
        <d v="2026-12-04T00:00:00Z"/>
        <d v="2026-12-06T00:00:00Z"/>
        <d v="2026-12-09T00:00:00Z"/>
        <d v="2026-12-12T00:00:00Z"/>
        <d v="2026-09-06T00:00:00Z"/>
        <d v="2026-09-10T00:00:00Z"/>
        <d v="2026-09-12T00:00:00Z"/>
        <d v="2026-09-16T00:00:00Z"/>
        <d v="2026-09-18T00:00:00Z"/>
        <s v="2026.09-19"/>
        <d v="2026-09-20T00:00:00Z"/>
        <d v="2026-12-13T00:00:00Z"/>
        <d v="2026-10-14T00:00:00Z"/>
        <d v="2026-12-19T00:00:00Z"/>
        <d v="2026-12-23T00:00:00Z"/>
        <d v="2026-11-01T00:00:00Z"/>
        <d v="2026-09-19T00:00:00Z"/>
        <d v="2026-09-24T00:00:00Z"/>
        <d v="2026-09-26T00:00:00Z"/>
        <d v="2026-11-26T00:00:00Z"/>
        <d v="2026-12-03T00:00:00Z"/>
        <d v="2026-12-05T00:00:00Z"/>
        <d v="2026-12-11T00:00:00Z"/>
        <d v="2026-10-16T00:00:00Z"/>
        <d v="2026-10-24T00:00:00Z"/>
        <d v="2026-11-12T00:00:00Z"/>
        <d v="2026-11-20T00:00:00Z"/>
        <d v="2026-12-16T00:00:00Z"/>
        <d v="2026-12-27T00:00:00Z"/>
        <d v="2026-12-10T00:00:00Z"/>
        <d v="2026-12-31T00:00:00Z"/>
        <d v="2026-12-20T00:00:00Z"/>
        <d v="2026-12-26T00:00:00Z"/>
        <d v="2026-12-30T00:00:00Z"/>
        <d v="2026-12-08T00:00:00Z"/>
        <d v="2026-11-04T00:00:00Z"/>
        <d v="2026-10-04T00:00:00Z"/>
        <d v="2026-10-21T00:00:00Z"/>
        <d v="2026-12-24T00:00:00Z"/>
        <m/>
      </sharedItems>
    </cacheField>
    <cacheField name="실적시작일" numFmtId="0">
      <sharedItems containsString="0" containsBlank="1">
        <m/>
      </sharedItems>
    </cacheField>
    <cacheField name="실적완료일" numFmtId="0">
      <sharedItems containsString="0" containsBlank="1">
        <m/>
      </sharedItems>
    </cacheField>
    <cacheField name="단위테스트ID" numFmtId="0">
      <sharedItems containsBlank="1">
        <m/>
        <s v="UT_RA011M01"/>
        <s v="UT_RA012M01"/>
        <s v="UT_RA021M01"/>
        <s v="UT_RA031M01"/>
        <s v="UT_RA032M01"/>
        <s v="UT_RA033M01"/>
        <s v="UT_RA034M01"/>
        <s v="UT_RA035M01"/>
        <s v="UT_RA036M01"/>
        <s v="UT_RA037M01"/>
        <s v="UT_RA041M01"/>
        <s v="UT_RA042M01"/>
        <s v="UT_RA043M01"/>
        <s v="UT_RA044M01"/>
        <s v="UT_RA045M01"/>
        <s v="UT_RA046M01"/>
        <s v="UT_RA049M01"/>
        <s v="UT_RA04AM01"/>
        <s v="UT_RA04BM01"/>
        <s v="UT_RA047M01"/>
        <s v="UT_RA048M01"/>
        <s v="UT_RA051M01"/>
        <s v="UT_RA052M01"/>
        <s v="UT_RA061M01"/>
        <s v="UT_RA071M01"/>
        <s v="UT_RA072M01"/>
        <s v="UT_RA073M01"/>
        <s v="UT_RA074M01"/>
        <s v="UT_RA075M01"/>
        <s v="UT_RA076M01"/>
        <s v="UT_RA077M01"/>
        <s v="UT_RA078M01"/>
        <s v="UT_RA079M01"/>
        <s v="UT_RC011M01"/>
        <s v="UT_RC012M01"/>
        <s v="UT_RC013M01"/>
        <s v="UT_RC014M01"/>
        <s v="UT_RC015M01"/>
        <s v="UT_RC016M01"/>
        <s v="UT_RC017M01"/>
        <s v="UT_RC018M01"/>
        <s v="UT_RC019M01"/>
        <s v="UT_RC021M01"/>
        <s v="UT_RC022M01"/>
        <s v="UT_RC023M01"/>
        <s v="UT_RC031M01"/>
        <s v="UT_RC032M01"/>
        <s v="UT_RC033M01"/>
        <s v="UT_RC034M01"/>
        <s v="UT_RC035M01"/>
        <s v="UT_RC036M01"/>
        <s v="UT_RC041M01"/>
        <s v="UT_RC051M01"/>
        <s v="UT_RC061M01"/>
        <s v="UT_RC062M01"/>
        <s v="UT_RC071M01"/>
        <s v="UT_RC072M01"/>
        <s v="UT_RC072T01"/>
        <s v="UT_RC072T02"/>
        <s v="UT_RC073M01"/>
        <s v="UT_RC074M01"/>
        <s v="UT_RC074T01"/>
        <s v="UT_RC081M01"/>
        <s v="UT_RB011M01"/>
        <s v="UT_RB012M01"/>
        <s v="UT_RB012T01"/>
        <s v="UT_RB012R01"/>
        <s v="UT_RB013M01"/>
        <s v="UT_RB014M01"/>
        <s v="UT_RB014P01"/>
        <s v="UT_RB014R01"/>
        <s v="UT_RB015M01"/>
        <s v="UT_RB016M01"/>
        <s v="UT_RB017M01"/>
        <s v="UT_RB018M01"/>
        <s v="UT_RB019M01"/>
        <s v="UT_RB019T01"/>
        <s v="UT_RB021M01"/>
        <s v="UT_RB022M01"/>
        <s v="UT_RB023M01"/>
        <s v="UT_RB024M01"/>
        <s v="UT_RB025M01"/>
        <s v="UT_RB031M01"/>
        <s v="UT_RB031P01"/>
        <s v="UT_RB032M01"/>
        <s v="UT_RB033M01"/>
        <s v="UT_RB034M01"/>
        <s v="UT_RB034P01"/>
        <s v="UT_RB041M01"/>
        <s v="UT_RB042M01"/>
        <s v="UT_RB042T01"/>
        <s v="UT_RB043M01"/>
        <s v="UT_RB043P01"/>
        <s v="UT_RB044M01"/>
        <s v="UT_RB051M01"/>
        <s v="UT_RB054M01"/>
        <s v="UT_RB055M01"/>
        <s v="UT_RB055T01"/>
        <s v="UT_RB055T02"/>
        <s v="UT_RB055T03"/>
        <s v="UT_RB055T04"/>
        <s v="UT_RB055T05"/>
        <s v="UT_RB055T06"/>
        <s v="UT_RB056M01"/>
        <s v="UT_RB056T01"/>
        <s v="UT_RB056T02"/>
        <s v="UT_RB056T03"/>
        <s v="UT_RB056T04"/>
        <s v="UT_RB056T05"/>
        <s v="UT_RB056T06"/>
        <s v="UT_RB057M01"/>
        <s v="UT_RB057T01"/>
        <s v="UT_RB057T02"/>
        <s v="UT_RB057T03"/>
        <s v="UT_RB057T04"/>
        <s v="UT_RB057T05"/>
        <s v="UT_RB057T06"/>
        <s v="UT_RB052M01"/>
        <s v="UT_RB053M01"/>
        <s v="UT_RB061M01"/>
        <s v="UT_RB061T01"/>
        <s v="UT_RB062M01"/>
        <s v="UT_RB066M01"/>
        <s v="UT_RB066T01"/>
        <s v="UT_RB067M01"/>
        <s v="UT_RB068M01"/>
        <s v="UT_RB063M01"/>
        <s v="UT_RB064M01"/>
        <s v="UT_RB064T01"/>
        <s v="UT_RB065M01"/>
        <s v="UT_RB065T01"/>
        <s v="UT_RB069M01"/>
        <s v="UT_RB071M01"/>
        <s v="UT_RB072M01"/>
        <s v="UT_RB072T01"/>
        <s v="UT_RB072T02"/>
        <s v="UT_RB073M01"/>
        <s v="UT_RB074M01"/>
        <s v="UT_RB074T01"/>
        <s v="UT_RD011M01"/>
        <s v="UT_RD012M01"/>
        <s v="UT_RD013M01"/>
        <s v="UT_RD014M01"/>
        <s v="UT_RD015M01"/>
        <s v="UT_RD015T01"/>
        <s v="UT_RD016M01"/>
        <s v="UT_RD017M01"/>
        <s v="UT_RD017T01"/>
        <s v="UT_RD018M01"/>
        <s v="UT_RD021M01"/>
        <s v="UT_RD031M01"/>
        <s v="UT_RD041M01"/>
        <s v="UT_RD042M01"/>
        <s v="UT_RE011M01"/>
        <s v="UT_RF011M01"/>
        <s v="UT_RF021M01"/>
        <s v="UT_comSrchUser"/>
        <s v="UT_comSrchTempUser"/>
        <s v="UT_comSrchEvUser"/>
        <s v="UT_comPMsgDialog"/>
        <s v="UT_comExcelDown"/>
        <s v="UT_comMultiExcelDown"/>
        <s v="UT_comSendSMS"/>
        <s v="UT_comLogin"/>
        <s v="UT_comDeptTree"/>
        <s v="UT_comMain"/>
        <s v="UT_comMyMenu"/>
        <s v="UT_comSiteMap"/>
        <s v="UT_comHelpInfo"/>
        <s v="UT_comAddressInfo"/>
        <s v="UT_comReportViewer"/>
        <s v="UT_comPersonalmnRsn"/>
        <s v="UT_ZA011"/>
        <s v="UT_ZB011"/>
        <s v="UT_ZB021"/>
        <s v="UT_ZC011"/>
        <s v="UT_ZC021"/>
        <s v="UT_ZC031"/>
        <s v="UT_ZD011"/>
        <s v="UT_ZD021"/>
        <s v="UT_ZE011"/>
        <s v="UT_ZE021"/>
        <s v="UT_ZF011"/>
        <s v="UT_ZF021"/>
        <s v="UT_ZG011"/>
        <s v="UT_ZG021"/>
        <s v="UT_ZG031"/>
        <s v="UT_ZG041"/>
        <s v="UT_ZG051"/>
        <s v="UT_ZG061"/>
        <s v="UT_ZH011"/>
        <s v="UT_ZH021"/>
        <s v="UT_ZZ011"/>
      </sharedItems>
    </cacheField>
    <cacheField name="팝업여부" numFmtId="0">
      <sharedItems containsBlank="1">
        <s v="N"/>
        <s v="Y"/>
        <m/>
      </sharedItems>
    </cacheField>
    <cacheField name="난이도" numFmtId="0">
      <sharedItems containsBlank="1">
        <s v="상"/>
        <s v="중"/>
        <s v="하"/>
        <m/>
      </sharedItems>
    </cacheField>
    <cacheField name="개발차수">
      <sharedItems containsMixedTypes="1" containsNumber="1" containsInteger="1">
        <n v="1.0"/>
        <s v="1차"/>
        <s v="2차"/>
      </sharedItems>
    </cacheField>
    <cacheField name="범위" numFmtId="0">
      <sharedItems containsString="0" containsBlank="1">
        <m/>
      </sharedItems>
    </cacheField>
    <cacheField name="추가일자" numFmtId="164">
      <sharedItems containsDate="1" containsString="0" containsBlank="1">
        <d v="2026-08-12T00:00:00Z"/>
        <d v="2026-08-19T00:00:00Z"/>
        <d v="2026-08-02T00:00:00Z"/>
        <d v="2026-08-30T00:00:00Z"/>
        <m/>
      </sharedItems>
    </cacheField>
    <cacheField name="URL" numFmtId="0">
      <sharedItems containsString="0" containsBlank="1">
        <m/>
      </sharedItems>
    </cacheField>
    <cacheField name="비고" numFmtId="0">
      <sharedItems containsBlank="1">
        <m/>
        <s v="레이아웃이 없는 빈프레임 &#10;API 사용&#10;http://www.juso.go.kr/addrlink/addrLinkUrlSearch.do"/>
        <s v="레이아웃이 없는 빈프레임 &#10;레포트파일 오픈"/>
        <s v="SP_CHK_LOG&#10;(매일 20분마다)"/>
        <s v="SP_CHK_SMS_SVR&#10;(20초마다)"/>
        <s v="SP_WEB_VISITOR_CNT&#10;(매일 20분마다)"/>
        <s v="SP_CHECK_DB_CONN&#10;SP_ALARM_SEND_SMS&#10;SP_BTC_LOG_SEQ"/>
        <s v="SP_BTC_LOG&#10;SP_IMPORT_USER_RBM&#10;SP_IMPORT_USER&#10;SP_IMPORT_USER_TEMP&#10;(매일 9-17시 1시간마다)"/>
        <s v="신규 요청 인터페이스"/>
      </sharedItems>
    </cacheField>
    <cacheField name="등록취소여부" numFmtId="0">
      <sharedItems containsBlank="1">
        <s v="N"/>
        <m/>
      </sharedItems>
    </cacheField>
    <cacheField name="등록취소일자" numFmtId="0">
      <sharedItems containsString="0" containsBlank="1">
        <m/>
      </sharedItems>
    </cacheField>
    <cacheField name="진행상태" numFmtId="0">
      <sharedItems containsBlank="1">
        <s v="개발대기"/>
        <m/>
      </sharedItems>
    </cacheField>
    <cacheField name="화면설계 진행상태" numFmtId="0">
      <sharedItems containsBlank="1">
        <s v="완료"/>
        <s v="작성중"/>
        <s v="Y"/>
        <s v="N"/>
        <s v="- UIIUX 작업 없음&#10;&#10;UI_RC071M01, 동일한 기능으로 작성, 개발하지 않음"/>
        <s v="- UIIUX 작업 없음&#10;&#10;UI_RC072M01, 동일한 기능으로 작성, 개발하지 않음"/>
        <s v="- UIIUX 작업 없음&#10;&#10;UI_RC072T01, 동일한 기능으로 작성, 개발하지 않음"/>
        <s v="- UIIUX 작업 없음&#10;&#10;UI_RC072T02, 동일한 기능으로 작성, 개발하지 않음"/>
        <s v="- UIIUX 작업 없음&#10;&#10;UI_RC073M01, 동일한 기능으로 작성, 개발하지 않음"/>
        <s v="- UIIUX 작업 없음&#10;&#10;UI_RC074M01, 동일한 기능으로 작성, 개발하지 않음"/>
        <s v="- UIIUX 작업 없음&#10;&#10;UI_RC074T01, 동일한 기능으로 작성, 개발하지 않음"/>
        <m/>
      </sharedItems>
    </cacheField>
    <cacheField name="UI/UX기획상태" numFmtId="0">
      <sharedItems containsBlank="1">
        <m/>
        <s v="완료"/>
        <s v="Y"/>
        <s v="N"/>
      </sharedItems>
    </cacheField>
    <cacheField name="설계서수령일" numFmtId="165">
      <sharedItems containsDate="1" containsString="0" containsBlank="1">
        <d v="2026-09-03T00:00:00Z"/>
        <m/>
      </sharedItems>
    </cacheField>
    <cacheField name="기획서수령일" numFmtId="0">
      <sharedItems containsDate="1" containsString="0" containsBlank="1">
        <m/>
        <d v="2026-09-03T00:00:00Z"/>
      </sharedItems>
    </cacheField>
    <cacheField name="퍼블진행상태" numFmtId="0">
      <sharedItems containsBlank="1">
        <m/>
        <s v="(퍼블)전달완료"/>
        <s v="(업무)설계서수령"/>
        <s v="(업무)비고-확인"/>
        <s v="(퍼블)작성진행"/>
      </sharedItems>
    </cacheField>
    <cacheField name="퍼블담당자" numFmtId="0">
      <sharedItems containsBlank="1">
        <m/>
        <s v="한예인"/>
        <s v="최수연"/>
        <s v="이선영"/>
      </sharedItems>
    </cacheField>
    <cacheField name="퍼블시작일">
      <sharedItems containsDate="1" containsBlank="1" containsMixedTypes="1">
        <m/>
        <d v="2026-09-03T00:00:00Z"/>
        <s v="(2026-09-21)"/>
        <s v="(2026-09-28)"/>
        <s v="(2026-10-05)"/>
        <d v="2026-09-04T00:00:00Z"/>
        <s v="(2026-10-12)"/>
        <s v="(2026-09-14)"/>
      </sharedItems>
    </cacheField>
    <cacheField name="퍼블종료일">
      <sharedItems containsDate="1" containsBlank="1" containsMixedTypes="1">
        <m/>
        <d v="2026-09-03T00:00:00Z"/>
        <s v="(2026-09-21)"/>
        <s v="(2026-09-28)"/>
        <s v="(2026-10-05)"/>
        <s v="(2026-09-14)"/>
        <s v="(2026-10-12)"/>
        <d v="2026-09-04T00:00:00Z"/>
      </sharedItems>
    </cacheField>
    <cacheField name="퍼블전달일" numFmtId="0">
      <sharedItems containsDate="1" containsString="0" containsBlank="1">
        <m/>
        <d v="2026-09-04T00:00:00Z"/>
      </sharedItems>
    </cacheField>
    <cacheField name="퍼블 비고" numFmtId="0">
      <sharedItems containsBlank="1">
        <m/>
        <s v="종사원평가_화면 수정사항_260904.pptx 참고"/>
        <s v="디자인 문의&#10;종사원평가_화면 수정사항_260904.pptx 참고"/>
        <s v="09-04 디자인 확인 되어야 하는 내용 있음"/>
      </sharedItems>
    </cacheField>
    <cacheField name="업무 비고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공수" cacheId="0" dataCaption="" rowGrandTotals="0" compact="0" compactData="0">
  <location ref="B10:D14" firstHeaderRow="0" firstDataRow="2" firstDataCol="0"/>
  <pivotFields>
    <pivotField name="KE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순번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팀" compact="0" outline="0" multipleItemSelectionAllowed="1" showAll="0">
      <items>
        <item x="0"/>
        <item x="1"/>
        <item x="2"/>
        <item t="default"/>
      </items>
    </pivotField>
    <pivotField name="업무영역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구분" compact="0" outline="0" multipleItemSelectionAllowed="1" showAll="0">
      <items>
        <item x="0"/>
        <item x="1"/>
        <item x="2"/>
        <item t="default"/>
      </items>
    </pivotField>
    <pivotField name="유형" compact="0" outline="0" multipleItemSelectionAllowed="1" showAll="0">
      <items>
        <item x="0"/>
        <item x="1"/>
        <item x="2"/>
        <item x="3"/>
        <item t="default"/>
      </items>
    </pivotField>
    <pivotField name="프로그램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t="default"/>
      </items>
    </pivotField>
    <pivotField name="프로그램명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t="default"/>
      </items>
    </pivotField>
    <pivotField name="개발자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개발시작일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개발완료일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실적시작일" compact="0" outline="0" multipleItemSelectionAllowed="1" showAll="0">
      <items>
        <item x="0"/>
        <item t="default"/>
      </items>
    </pivotField>
    <pivotField name="실적완료일" compact="0" outline="0" multipleItemSelectionAllowed="1" showAll="0">
      <items>
        <item x="0"/>
        <item t="default"/>
      </items>
    </pivotField>
    <pivotField name="단위테스트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팝업여부" compact="0" outline="0" multipleItemSelectionAllowed="1" showAll="0">
      <items>
        <item x="0"/>
        <item x="1"/>
        <item x="2"/>
        <item t="default"/>
      </items>
    </pivotField>
    <pivotField name="난이도" compact="0" outline="0" multipleItemSelectionAllowed="1" showAll="0">
      <items>
        <item x="0"/>
        <item x="1"/>
        <item x="2"/>
        <item x="3"/>
        <item t="default"/>
      </items>
    </pivotField>
    <pivotField name="개발차수" compact="0" outline="0" multipleItemSelectionAllowed="1" showAll="0">
      <items>
        <item x="0"/>
        <item x="1"/>
        <item x="2"/>
        <item t="default"/>
      </items>
    </pivotField>
    <pivotField name="범위" compact="0" outline="0" multipleItemSelectionAllowed="1" showAll="0">
      <items>
        <item x="0"/>
        <item t="default"/>
      </items>
    </pivotField>
    <pivotField name="추가일자" compact="0" numFmtId="164" outline="0" multipleItemSelectionAllowed="1" showAll="0">
      <items>
        <item x="0"/>
        <item x="1"/>
        <item x="2"/>
        <item x="3"/>
        <item x="4"/>
        <item t="default"/>
      </items>
    </pivotField>
    <pivotField name="URL" compact="0" outline="0" multipleItemSelectionAllowed="1" showAll="0">
      <items>
        <item x="0"/>
        <item t="default"/>
      </items>
    </pivotField>
    <pivotField name="비고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등록취소여부" compact="0" outline="0" multipleItemSelectionAllowed="1" showAll="0">
      <items>
        <item x="0"/>
        <item x="1"/>
        <item t="default"/>
      </items>
    </pivotField>
    <pivotField name="등록취소일자" compact="0" outline="0" multipleItemSelectionAllowed="1" showAll="0">
      <items>
        <item x="0"/>
        <item t="default"/>
      </items>
    </pivotField>
    <pivotField name="진행상태" compact="0" outline="0" multipleItemSelectionAllowed="1" showAll="0">
      <items>
        <item x="0"/>
        <item x="1"/>
        <item t="default"/>
      </items>
    </pivotField>
    <pivotField name="화면설계 진행상태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I/UX기획상태" compact="0" outline="0" multipleItemSelectionAllowed="1" showAll="0">
      <items>
        <item x="0"/>
        <item x="1"/>
        <item x="2"/>
        <item x="3"/>
        <item t="default"/>
      </items>
    </pivotField>
    <pivotField name="설계서수령일" compact="0" numFmtId="165" outline="0" multipleItemSelectionAllowed="1" showAll="0">
      <items>
        <item x="0"/>
        <item x="1"/>
        <item t="default"/>
      </items>
    </pivotField>
    <pivotField name="기획서수령일" compact="0" outline="0" multipleItemSelectionAllowed="1" showAll="0">
      <items>
        <item x="0"/>
        <item x="1"/>
        <item t="default"/>
      </items>
    </pivotField>
    <pivotField name="퍼블진행상태" compact="0" outline="0" multipleItemSelectionAllowed="1" showAll="0">
      <items>
        <item x="0"/>
        <item x="1"/>
        <item x="2"/>
        <item x="3"/>
        <item x="4"/>
        <item t="default"/>
      </items>
    </pivotField>
    <pivotField name="퍼블담당자" axis="axisRow" dataField="1" compact="0" outline="0" multipleItemSelectionAllowed="1" showAll="0" sortType="ascending">
      <items>
        <item x="0"/>
        <item x="3"/>
        <item x="2"/>
        <item x="1"/>
        <item t="default"/>
      </items>
    </pivotField>
    <pivotField name="퍼블시작일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퍼블종료일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퍼블전달일" dataField="1" compact="0" outline="0" multipleItemSelectionAllowed="1" showAll="0">
      <items>
        <item x="0"/>
        <item x="1"/>
        <item t="default"/>
      </items>
    </pivotField>
    <pivotField name="퍼블 비고" compact="0" outline="0" multipleItemSelectionAllowed="1" showAll="0">
      <items>
        <item x="0"/>
        <item x="1"/>
        <item x="2"/>
        <item x="3"/>
        <item t="default"/>
      </items>
    </pivotField>
    <pivotField name="업무 비고" compact="0" outline="0" multipleItemSelectionAllowed="1" showAll="0">
      <items>
        <item x="0"/>
        <item t="default"/>
      </items>
    </pivotField>
  </pivotFields>
  <rowFields>
    <field x="29"/>
  </rowFields>
  <colFields>
    <field x="-2"/>
  </colFields>
  <dataFields>
    <dataField name="담당지정" fld="29" subtotal="count" baseField="0"/>
    <dataField name="전달기준작업본수" fld="32" subtotal="count" baseField="0"/>
  </dataFields>
</pivotTableDefinition>
</file>

<file path=xl/tables/table1.xml><?xml version="1.0" encoding="utf-8"?>
<table xmlns="http://schemas.openxmlformats.org/spreadsheetml/2006/main" ref="A1:D2" displayName="수령관리" name="수령관리" id="2">
  <tableColumns count="4">
    <tableColumn name="일자" id="1"/>
    <tableColumn name="설계서" id="2"/>
    <tableColumn name="기획서" id="3"/>
    <tableColumn name="차이" id="4"/>
  </tableColumns>
  <tableStyleInfo name="개요-style" showColumnStripes="0" showFirstColumn="1" showLastColumn="1" showRowStripes="1"/>
</table>
</file>

<file path=xl/tables/table2.xml><?xml version="1.0" encoding="utf-8"?>
<table xmlns="http://schemas.openxmlformats.org/spreadsheetml/2006/main" headerRowCount="0" ref="B4:Y327" displayName="Table_1" name="Table_1" id="1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WBS(전체)-style" showColumnStripes="0" showFirstColumn="1" showLastColumn="1" showRowStripes="1"/>
</table>
</file>

<file path=xl/tables/table3.xml><?xml version="1.0" encoding="utf-8"?>
<table xmlns="http://schemas.openxmlformats.org/spreadsheetml/2006/main" ref="A1:AI325" displayName="경주운영관리시스템_WBS" name="경주운영관리시스템_WBS" id="3">
  <tableColumns count="35">
    <tableColumn name="KEY" id="1"/>
    <tableColumn name="순번" id="2"/>
    <tableColumn name="팀" id="3"/>
    <tableColumn name="업무영역" id="4"/>
    <tableColumn name="구분" id="5"/>
    <tableColumn name="유형" id="6"/>
    <tableColumn name="프로그램ID" id="7"/>
    <tableColumn name="프로그램명" id="8"/>
    <tableColumn name="개발자" id="9"/>
    <tableColumn name="개발시작일" id="10"/>
    <tableColumn name="개발완료일" id="11"/>
    <tableColumn name="실적시작일" id="12"/>
    <tableColumn name="실적완료일" id="13"/>
    <tableColumn name="단위테스트ID" id="14"/>
    <tableColumn name="팝업여부" id="15"/>
    <tableColumn name="난이도" id="16"/>
    <tableColumn name="개발차수" id="17"/>
    <tableColumn name="범위" id="18"/>
    <tableColumn name="추가일자" id="19"/>
    <tableColumn name="URL" id="20"/>
    <tableColumn name="비고" id="21"/>
    <tableColumn name="등록취소여부" id="22"/>
    <tableColumn name="등록취소일자" id="23"/>
    <tableColumn name="진행상태" id="24"/>
    <tableColumn name="화면설계 진행상태" id="25"/>
    <tableColumn name="UI/UX기획상태" id="26"/>
    <tableColumn name="설계서수령일" id="27"/>
    <tableColumn name="기획서수령일" id="28"/>
    <tableColumn name="퍼블진행상태" id="29"/>
    <tableColumn name="퍼블담당자" id="30"/>
    <tableColumn name="퍼블시작일" id="31"/>
    <tableColumn name="퍼블종료일" id="32"/>
    <tableColumn name="퍼블전달일" id="33"/>
    <tableColumn name="퍼블 비고" id="34"/>
    <tableColumn name="업무 비고" id="35"/>
  </tableColumns>
  <tableStyleInfo name="WBS(작업용)-style" showColumnStripes="0" showFirstColumn="1" showLastColumn="1" showRowStripes="1"/>
</table>
</file>

<file path=xl/tables/table4.xml><?xml version="1.0" encoding="utf-8"?>
<table xmlns="http://schemas.openxmlformats.org/spreadsheetml/2006/main" ref="A1:E5" displayName="투입인력관리" name="투입인력관리" id="4">
  <tableColumns count="5">
    <tableColumn name="순번" id="1"/>
    <tableColumn name="성명" id="2"/>
    <tableColumn name="투입일자" id="3"/>
    <tableColumn name="철수일자" id="4"/>
    <tableColumn name="투입공수(M/M)" id="5"/>
  </tableColumns>
  <tableStyleInfo name="인력관리-style" showColumnStripes="0" showFirstColumn="1" showLastColumn="1" showRowStripes="1"/>
</table>
</file>

<file path=xl/tables/table5.xml><?xml version="1.0" encoding="utf-8"?>
<table xmlns="http://schemas.openxmlformats.org/spreadsheetml/2006/main" headerRowCount="0" ref="A1:F1" displayName="표1" name="표1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팝업화면식별요청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2" max="3" width="13.13"/>
  </cols>
  <sheetData>
    <row r="1" ht="22.5" customHeight="1">
      <c r="A1" s="6" t="s">
        <v>17</v>
      </c>
      <c r="B1" s="6" t="s">
        <v>27</v>
      </c>
      <c r="C1" s="6" t="s">
        <v>31</v>
      </c>
      <c r="D1" s="8" t="s">
        <v>32</v>
      </c>
    </row>
    <row r="2" ht="22.5" customHeight="1">
      <c r="A2" s="10">
        <v>46268.0</v>
      </c>
      <c r="B2" s="34">
        <f>COUNTIF(경주운영관리시스템_WBS[설계서수령일], 수령관리[일자])</f>
        <v>166</v>
      </c>
      <c r="C2" s="34">
        <f>COUNTIF(경주운영관리시스템_WBS[기획서수령일], 수령관리[일자])</f>
        <v>85</v>
      </c>
      <c r="D2" s="34">
        <f>수령관리[설계서]-수령관리[기획서]</f>
        <v>81</v>
      </c>
    </row>
  </sheetData>
  <dataValidations>
    <dataValidation type="custom" allowBlank="1" showDropDown="1" sqref="A2">
      <formula1>OR(NOT(ISERROR(DATEVALUE(A2))), AND(ISNUMBER(A2), LEFT(CELL("format", A2))="D"))</formula1>
    </dataValidation>
    <dataValidation type="custom" allowBlank="1" showDropDown="1" sqref="B2:C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.88"/>
    <col customWidth="1" min="2" max="2" width="9.13"/>
    <col customWidth="1" min="3" max="3" width="14.25"/>
    <col customWidth="1" min="4" max="5" width="8.25"/>
    <col customWidth="1" min="6" max="6" width="18.5"/>
    <col customWidth="1" min="7" max="7" width="51.88"/>
    <col customWidth="1" min="8" max="8" width="8.75"/>
    <col customWidth="1" min="9" max="10" width="9.5"/>
    <col customWidth="1" min="11" max="12" width="8.75"/>
    <col customWidth="1" min="13" max="13" width="19.13"/>
    <col customWidth="1" min="14" max="14" width="6.75"/>
    <col customWidth="1" min="15" max="15" width="5.38"/>
    <col customWidth="1" min="16" max="16" width="6.75"/>
    <col customWidth="1" min="17" max="17" width="3.88"/>
    <col customWidth="1" min="18" max="18" width="9.5"/>
    <col customWidth="1" min="19" max="19" width="8.75"/>
    <col customWidth="1" min="20" max="20" width="39.25"/>
    <col customWidth="1" min="21" max="22" width="9.63"/>
    <col customWidth="1" min="23" max="23" width="6.75"/>
    <col customWidth="1" min="24" max="24" width="7.13"/>
    <col customWidth="1" min="25" max="25" width="6.75"/>
    <col customWidth="1" min="26" max="26" width="9.5"/>
    <col customWidth="1" min="27" max="27" width="8.75"/>
    <col customWidth="1" min="28" max="28" width="7.25"/>
    <col customWidth="1" min="29" max="29" width="16.0"/>
  </cols>
  <sheetData>
    <row r="1" ht="18.0" customHeight="1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M1" s="4" t="s">
        <v>16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  <c r="S1" s="4" t="s">
        <v>23</v>
      </c>
      <c r="T1" s="4" t="s">
        <v>24</v>
      </c>
      <c r="U1" s="4" t="s">
        <v>25</v>
      </c>
      <c r="V1" s="4" t="s">
        <v>26</v>
      </c>
      <c r="W1" s="4" t="s">
        <v>29</v>
      </c>
      <c r="X1" s="7" t="s">
        <v>30</v>
      </c>
      <c r="Y1" s="7" t="s">
        <v>33</v>
      </c>
      <c r="Z1" s="7" t="s">
        <v>34</v>
      </c>
      <c r="AA1" s="7" t="s">
        <v>35</v>
      </c>
      <c r="AB1" s="7" t="s">
        <v>36</v>
      </c>
      <c r="AC1" s="4" t="s">
        <v>37</v>
      </c>
    </row>
    <row r="2" ht="18.0" customHeight="1">
      <c r="H2" s="4" t="s">
        <v>38</v>
      </c>
      <c r="I2" s="4" t="s">
        <v>39</v>
      </c>
      <c r="K2" s="4" t="s">
        <v>40</v>
      </c>
    </row>
    <row r="3" ht="18.0" customHeight="1">
      <c r="I3" s="4" t="s">
        <v>41</v>
      </c>
      <c r="J3" s="4" t="s">
        <v>42</v>
      </c>
      <c r="K3" s="4" t="s">
        <v>41</v>
      </c>
      <c r="L3" s="4" t="s">
        <v>42</v>
      </c>
    </row>
    <row r="4" ht="18.0" customHeight="1">
      <c r="A4" s="11">
        <f t="shared" ref="A4:A327" si="1">row() - 3</f>
        <v>1</v>
      </c>
      <c r="B4" s="12" t="s">
        <v>43</v>
      </c>
      <c r="C4" s="12" t="s">
        <v>44</v>
      </c>
      <c r="D4" s="12" t="s">
        <v>45</v>
      </c>
      <c r="E4" s="12" t="s">
        <v>47</v>
      </c>
      <c r="F4" s="12" t="s">
        <v>48</v>
      </c>
      <c r="G4" s="13" t="s">
        <v>52</v>
      </c>
      <c r="H4" s="12" t="s">
        <v>53</v>
      </c>
      <c r="I4" s="14">
        <v>46274.0</v>
      </c>
      <c r="J4" s="14">
        <v>46282.0</v>
      </c>
      <c r="K4" s="15"/>
      <c r="L4" s="15"/>
      <c r="M4" s="16"/>
      <c r="N4" s="12" t="s">
        <v>54</v>
      </c>
      <c r="O4" s="12" t="s">
        <v>55</v>
      </c>
      <c r="P4" s="12">
        <v>1.0</v>
      </c>
      <c r="Q4" s="16"/>
      <c r="R4" s="14">
        <v>46246.0</v>
      </c>
      <c r="S4" s="16"/>
      <c r="T4" s="17"/>
      <c r="U4" s="12" t="s">
        <v>54</v>
      </c>
      <c r="V4" s="18"/>
      <c r="W4" s="12" t="s">
        <v>56</v>
      </c>
      <c r="X4" s="12" t="s">
        <v>57</v>
      </c>
      <c r="Y4" s="16"/>
      <c r="Z4" s="14">
        <v>46268.0</v>
      </c>
      <c r="AA4" s="19"/>
      <c r="AB4" s="12"/>
      <c r="AC4" s="12" t="str">
        <f t="shared" ref="AC4:AC327" si="2">SUBSTITUTE(F4, "PI_", "")</f>
        <v>JA011M01</v>
      </c>
    </row>
    <row r="5" ht="18.0" customHeight="1">
      <c r="A5" s="11">
        <f t="shared" si="1"/>
        <v>2</v>
      </c>
      <c r="B5" s="12" t="s">
        <v>43</v>
      </c>
      <c r="C5" s="12" t="s">
        <v>44</v>
      </c>
      <c r="D5" s="12" t="s">
        <v>45</v>
      </c>
      <c r="E5" s="12" t="s">
        <v>47</v>
      </c>
      <c r="F5" s="12" t="s">
        <v>63</v>
      </c>
      <c r="G5" s="13" t="s">
        <v>64</v>
      </c>
      <c r="H5" s="12" t="s">
        <v>66</v>
      </c>
      <c r="I5" s="14">
        <v>46306.0</v>
      </c>
      <c r="J5" s="14">
        <v>46313.0</v>
      </c>
      <c r="K5" s="15"/>
      <c r="L5" s="15"/>
      <c r="M5" s="16"/>
      <c r="N5" s="12" t="s">
        <v>54</v>
      </c>
      <c r="O5" s="12" t="s">
        <v>55</v>
      </c>
      <c r="P5" s="12">
        <v>1.0</v>
      </c>
      <c r="Q5" s="16"/>
      <c r="R5" s="14">
        <v>46246.0</v>
      </c>
      <c r="S5" s="16"/>
      <c r="T5" s="17"/>
      <c r="U5" s="12" t="s">
        <v>54</v>
      </c>
      <c r="V5" s="18"/>
      <c r="W5" s="12" t="s">
        <v>56</v>
      </c>
      <c r="X5" s="12" t="s">
        <v>57</v>
      </c>
      <c r="Y5" s="16"/>
      <c r="Z5" s="14">
        <v>46268.0</v>
      </c>
      <c r="AA5" s="19"/>
      <c r="AB5" s="12"/>
      <c r="AC5" s="12" t="str">
        <f t="shared" si="2"/>
        <v>JA012M01</v>
      </c>
    </row>
    <row r="6" ht="18.0" customHeight="1">
      <c r="A6" s="11">
        <f t="shared" si="1"/>
        <v>3</v>
      </c>
      <c r="B6" s="12" t="s">
        <v>43</v>
      </c>
      <c r="C6" s="12" t="s">
        <v>44</v>
      </c>
      <c r="D6" s="12" t="s">
        <v>45</v>
      </c>
      <c r="E6" s="12" t="s">
        <v>47</v>
      </c>
      <c r="F6" s="12" t="s">
        <v>71</v>
      </c>
      <c r="G6" s="13" t="s">
        <v>72</v>
      </c>
      <c r="H6" s="12" t="s">
        <v>53</v>
      </c>
      <c r="I6" s="14">
        <v>46340.0</v>
      </c>
      <c r="J6" s="14">
        <v>46345.0</v>
      </c>
      <c r="K6" s="15"/>
      <c r="L6" s="15"/>
      <c r="M6" s="16"/>
      <c r="N6" s="12" t="s">
        <v>54</v>
      </c>
      <c r="O6" s="12" t="s">
        <v>55</v>
      </c>
      <c r="P6" s="12">
        <v>1.0</v>
      </c>
      <c r="Q6" s="16"/>
      <c r="R6" s="14">
        <v>46246.0</v>
      </c>
      <c r="S6" s="16"/>
      <c r="T6" s="17"/>
      <c r="U6" s="12" t="s">
        <v>54</v>
      </c>
      <c r="V6" s="18"/>
      <c r="W6" s="12" t="s">
        <v>56</v>
      </c>
      <c r="X6" s="12" t="s">
        <v>57</v>
      </c>
      <c r="Y6" s="16"/>
      <c r="Z6" s="14">
        <v>46268.0</v>
      </c>
      <c r="AA6" s="19"/>
      <c r="AB6" s="12"/>
      <c r="AC6" s="12" t="str">
        <f t="shared" si="2"/>
        <v>JA013M01</v>
      </c>
    </row>
    <row r="7" ht="18.0" customHeight="1">
      <c r="A7" s="11">
        <f t="shared" si="1"/>
        <v>4</v>
      </c>
      <c r="B7" s="12" t="s">
        <v>43</v>
      </c>
      <c r="C7" s="12" t="s">
        <v>44</v>
      </c>
      <c r="D7" s="12" t="s">
        <v>45</v>
      </c>
      <c r="E7" s="12" t="s">
        <v>47</v>
      </c>
      <c r="F7" s="12" t="s">
        <v>74</v>
      </c>
      <c r="G7" s="13" t="s">
        <v>75</v>
      </c>
      <c r="H7" s="12" t="s">
        <v>66</v>
      </c>
      <c r="I7" s="14">
        <v>46282.0</v>
      </c>
      <c r="J7" s="14">
        <v>46288.0</v>
      </c>
      <c r="K7" s="15"/>
      <c r="L7" s="15"/>
      <c r="M7" s="16"/>
      <c r="N7" s="12" t="s">
        <v>54</v>
      </c>
      <c r="O7" s="12" t="s">
        <v>76</v>
      </c>
      <c r="P7" s="12">
        <v>1.0</v>
      </c>
      <c r="Q7" s="16"/>
      <c r="R7" s="14">
        <v>46246.0</v>
      </c>
      <c r="S7" s="16"/>
      <c r="T7" s="17"/>
      <c r="U7" s="12" t="s">
        <v>54</v>
      </c>
      <c r="V7" s="18"/>
      <c r="W7" s="12" t="s">
        <v>56</v>
      </c>
      <c r="X7" s="12" t="s">
        <v>57</v>
      </c>
      <c r="Y7" s="16"/>
      <c r="Z7" s="14">
        <v>46268.0</v>
      </c>
      <c r="AA7" s="19"/>
      <c r="AB7" s="12"/>
      <c r="AC7" s="12" t="str">
        <f t="shared" si="2"/>
        <v>JA014M01</v>
      </c>
    </row>
    <row r="8" ht="18.0" customHeight="1">
      <c r="A8" s="11">
        <f t="shared" si="1"/>
        <v>5</v>
      </c>
      <c r="B8" s="12" t="s">
        <v>43</v>
      </c>
      <c r="C8" s="12" t="s">
        <v>44</v>
      </c>
      <c r="D8" s="12" t="s">
        <v>45</v>
      </c>
      <c r="E8" s="12" t="s">
        <v>47</v>
      </c>
      <c r="F8" s="12" t="s">
        <v>77</v>
      </c>
      <c r="G8" s="13" t="s">
        <v>78</v>
      </c>
      <c r="H8" s="12" t="s">
        <v>66</v>
      </c>
      <c r="I8" s="14">
        <v>46345.0</v>
      </c>
      <c r="J8" s="14">
        <v>46348.0</v>
      </c>
      <c r="K8" s="15"/>
      <c r="L8" s="15"/>
      <c r="M8" s="16"/>
      <c r="N8" s="12" t="s">
        <v>54</v>
      </c>
      <c r="O8" s="12" t="s">
        <v>76</v>
      </c>
      <c r="P8" s="12">
        <v>1.0</v>
      </c>
      <c r="Q8" s="16"/>
      <c r="R8" s="14">
        <v>46246.0</v>
      </c>
      <c r="S8" s="16"/>
      <c r="T8" s="17"/>
      <c r="U8" s="12" t="s">
        <v>54</v>
      </c>
      <c r="V8" s="18"/>
      <c r="W8" s="12" t="s">
        <v>56</v>
      </c>
      <c r="X8" s="12" t="s">
        <v>57</v>
      </c>
      <c r="Y8" s="16"/>
      <c r="Z8" s="14">
        <v>46268.0</v>
      </c>
      <c r="AA8" s="19"/>
      <c r="AB8" s="12"/>
      <c r="AC8" s="12" t="str">
        <f t="shared" si="2"/>
        <v>JA015M01</v>
      </c>
    </row>
    <row r="9" ht="18.0" customHeight="1">
      <c r="A9" s="11">
        <f t="shared" si="1"/>
        <v>6</v>
      </c>
      <c r="B9" s="12" t="s">
        <v>43</v>
      </c>
      <c r="C9" s="12" t="s">
        <v>44</v>
      </c>
      <c r="D9" s="12" t="s">
        <v>45</v>
      </c>
      <c r="E9" s="12" t="s">
        <v>79</v>
      </c>
      <c r="F9" s="12" t="s">
        <v>80</v>
      </c>
      <c r="G9" s="13" t="s">
        <v>81</v>
      </c>
      <c r="H9" s="12" t="s">
        <v>66</v>
      </c>
      <c r="I9" s="14">
        <v>46347.0</v>
      </c>
      <c r="J9" s="14">
        <v>46348.0</v>
      </c>
      <c r="K9" s="15"/>
      <c r="L9" s="15"/>
      <c r="M9" s="16"/>
      <c r="N9" s="12" t="s">
        <v>82</v>
      </c>
      <c r="O9" s="12" t="s">
        <v>76</v>
      </c>
      <c r="P9" s="12">
        <v>1.0</v>
      </c>
      <c r="Q9" s="16"/>
      <c r="R9" s="14">
        <v>46246.0</v>
      </c>
      <c r="S9" s="16"/>
      <c r="T9" s="17"/>
      <c r="U9" s="12" t="s">
        <v>54</v>
      </c>
      <c r="V9" s="18"/>
      <c r="W9" s="12" t="s">
        <v>56</v>
      </c>
      <c r="X9" s="12" t="s">
        <v>57</v>
      </c>
      <c r="Y9" s="16"/>
      <c r="Z9" s="14">
        <v>46268.0</v>
      </c>
      <c r="AA9" s="19"/>
      <c r="AB9" s="12"/>
      <c r="AC9" s="12" t="str">
        <f t="shared" si="2"/>
        <v>JA015P01</v>
      </c>
    </row>
    <row r="10" ht="18.0" customHeight="1">
      <c r="A10" s="11">
        <f t="shared" si="1"/>
        <v>7</v>
      </c>
      <c r="B10" s="12" t="s">
        <v>43</v>
      </c>
      <c r="C10" s="12" t="s">
        <v>44</v>
      </c>
      <c r="D10" s="12" t="s">
        <v>45</v>
      </c>
      <c r="E10" s="12" t="s">
        <v>47</v>
      </c>
      <c r="F10" s="12" t="s">
        <v>83</v>
      </c>
      <c r="G10" s="13" t="s">
        <v>84</v>
      </c>
      <c r="H10" s="12" t="s">
        <v>66</v>
      </c>
      <c r="I10" s="14">
        <v>46351.0</v>
      </c>
      <c r="J10" s="14">
        <v>46355.0</v>
      </c>
      <c r="K10" s="15"/>
      <c r="L10" s="15"/>
      <c r="M10" s="16"/>
      <c r="N10" s="12" t="s">
        <v>54</v>
      </c>
      <c r="O10" s="12" t="s">
        <v>85</v>
      </c>
      <c r="P10" s="12">
        <v>1.0</v>
      </c>
      <c r="Q10" s="16"/>
      <c r="R10" s="14">
        <v>46246.0</v>
      </c>
      <c r="S10" s="16"/>
      <c r="T10" s="17"/>
      <c r="U10" s="12" t="s">
        <v>54</v>
      </c>
      <c r="V10" s="18"/>
      <c r="W10" s="12" t="s">
        <v>56</v>
      </c>
      <c r="X10" s="12" t="s">
        <v>57</v>
      </c>
      <c r="Y10" s="16"/>
      <c r="Z10" s="14">
        <v>46268.0</v>
      </c>
      <c r="AA10" s="19"/>
      <c r="AB10" s="16"/>
      <c r="AC10" s="12" t="str">
        <f t="shared" si="2"/>
        <v>JA016M01</v>
      </c>
    </row>
    <row r="11" ht="18.0" customHeight="1">
      <c r="A11" s="11">
        <f t="shared" si="1"/>
        <v>8</v>
      </c>
      <c r="B11" s="12" t="s">
        <v>43</v>
      </c>
      <c r="C11" s="12" t="s">
        <v>44</v>
      </c>
      <c r="D11" s="12" t="s">
        <v>45</v>
      </c>
      <c r="E11" s="12" t="s">
        <v>79</v>
      </c>
      <c r="F11" s="12" t="s">
        <v>86</v>
      </c>
      <c r="G11" s="13" t="s">
        <v>87</v>
      </c>
      <c r="H11" s="12" t="s">
        <v>66</v>
      </c>
      <c r="I11" s="14">
        <v>46354.0</v>
      </c>
      <c r="J11" s="14">
        <v>46355.0</v>
      </c>
      <c r="K11" s="15"/>
      <c r="L11" s="15"/>
      <c r="M11" s="16"/>
      <c r="N11" s="12" t="s">
        <v>82</v>
      </c>
      <c r="O11" s="12" t="s">
        <v>76</v>
      </c>
      <c r="P11" s="12">
        <v>1.0</v>
      </c>
      <c r="Q11" s="16"/>
      <c r="R11" s="14">
        <v>46246.0</v>
      </c>
      <c r="S11" s="16"/>
      <c r="T11" s="17"/>
      <c r="U11" s="12" t="s">
        <v>54</v>
      </c>
      <c r="V11" s="18"/>
      <c r="W11" s="12" t="s">
        <v>56</v>
      </c>
      <c r="X11" s="12" t="s">
        <v>57</v>
      </c>
      <c r="Y11" s="16"/>
      <c r="Z11" s="14">
        <v>46268.0</v>
      </c>
      <c r="AA11" s="19"/>
      <c r="AB11" s="16"/>
      <c r="AC11" s="12" t="str">
        <f t="shared" si="2"/>
        <v>JA016P01</v>
      </c>
    </row>
    <row r="12" ht="18.0" customHeight="1">
      <c r="A12" s="11">
        <f t="shared" si="1"/>
        <v>9</v>
      </c>
      <c r="B12" s="12" t="s">
        <v>43</v>
      </c>
      <c r="C12" s="12" t="s">
        <v>44</v>
      </c>
      <c r="D12" s="12" t="s">
        <v>45</v>
      </c>
      <c r="E12" s="12" t="s">
        <v>47</v>
      </c>
      <c r="F12" s="12" t="s">
        <v>88</v>
      </c>
      <c r="G12" s="13" t="s">
        <v>89</v>
      </c>
      <c r="H12" s="12" t="s">
        <v>66</v>
      </c>
      <c r="I12" s="14">
        <v>46325.0</v>
      </c>
      <c r="J12" s="14">
        <v>46332.0</v>
      </c>
      <c r="K12" s="15"/>
      <c r="L12" s="15"/>
      <c r="M12" s="16"/>
      <c r="N12" s="12" t="s">
        <v>54</v>
      </c>
      <c r="O12" s="12" t="s">
        <v>55</v>
      </c>
      <c r="P12" s="12">
        <v>1.0</v>
      </c>
      <c r="Q12" s="16"/>
      <c r="R12" s="14">
        <v>46246.0</v>
      </c>
      <c r="S12" s="16"/>
      <c r="T12" s="17"/>
      <c r="U12" s="12" t="s">
        <v>54</v>
      </c>
      <c r="V12" s="18"/>
      <c r="W12" s="12" t="s">
        <v>56</v>
      </c>
      <c r="X12" s="12" t="s">
        <v>57</v>
      </c>
      <c r="Y12" s="16"/>
      <c r="Z12" s="14">
        <v>46268.0</v>
      </c>
      <c r="AA12" s="19"/>
      <c r="AB12" s="16"/>
      <c r="AC12" s="12" t="str">
        <f t="shared" si="2"/>
        <v>JA017M01</v>
      </c>
    </row>
    <row r="13" ht="18.0" customHeight="1">
      <c r="A13" s="11">
        <f t="shared" si="1"/>
        <v>10</v>
      </c>
      <c r="B13" s="12" t="s">
        <v>43</v>
      </c>
      <c r="C13" s="12" t="s">
        <v>44</v>
      </c>
      <c r="D13" s="12" t="s">
        <v>45</v>
      </c>
      <c r="E13" s="12" t="s">
        <v>47</v>
      </c>
      <c r="F13" s="12" t="s">
        <v>90</v>
      </c>
      <c r="G13" s="13" t="s">
        <v>91</v>
      </c>
      <c r="H13" s="12" t="s">
        <v>66</v>
      </c>
      <c r="I13" s="14">
        <v>46333.0</v>
      </c>
      <c r="J13" s="14">
        <v>46334.0</v>
      </c>
      <c r="K13" s="15"/>
      <c r="L13" s="15"/>
      <c r="M13" s="16"/>
      <c r="N13" s="12" t="s">
        <v>54</v>
      </c>
      <c r="O13" s="12" t="s">
        <v>55</v>
      </c>
      <c r="P13" s="12">
        <v>1.0</v>
      </c>
      <c r="Q13" s="16"/>
      <c r="R13" s="14">
        <v>46253.0</v>
      </c>
      <c r="S13" s="16"/>
      <c r="T13" s="17"/>
      <c r="U13" s="12" t="s">
        <v>54</v>
      </c>
      <c r="V13" s="18"/>
      <c r="W13" s="12" t="s">
        <v>56</v>
      </c>
      <c r="X13" s="12" t="s">
        <v>57</v>
      </c>
      <c r="Y13" s="16"/>
      <c r="Z13" s="14">
        <v>46268.0</v>
      </c>
      <c r="AA13" s="19"/>
      <c r="AB13" s="16"/>
      <c r="AC13" s="12" t="str">
        <f t="shared" si="2"/>
        <v>JA018M01</v>
      </c>
    </row>
    <row r="14" ht="18.0" customHeight="1">
      <c r="A14" s="11">
        <f t="shared" si="1"/>
        <v>11</v>
      </c>
      <c r="B14" s="12" t="s">
        <v>43</v>
      </c>
      <c r="C14" s="12" t="s">
        <v>92</v>
      </c>
      <c r="D14" s="12" t="s">
        <v>45</v>
      </c>
      <c r="E14" s="12" t="s">
        <v>47</v>
      </c>
      <c r="F14" s="12" t="s">
        <v>93</v>
      </c>
      <c r="G14" s="31" t="s">
        <v>94</v>
      </c>
      <c r="H14" s="12" t="s">
        <v>95</v>
      </c>
      <c r="I14" s="32">
        <v>46281.0</v>
      </c>
      <c r="J14" s="32">
        <v>46295.0</v>
      </c>
      <c r="K14" s="15"/>
      <c r="L14" s="15"/>
      <c r="M14" s="16"/>
      <c r="N14" s="12" t="s">
        <v>54</v>
      </c>
      <c r="O14" s="12" t="s">
        <v>55</v>
      </c>
      <c r="P14" s="12">
        <v>1.0</v>
      </c>
      <c r="Q14" s="16"/>
      <c r="R14" s="32">
        <v>46236.0</v>
      </c>
      <c r="S14" s="16"/>
      <c r="T14" s="17"/>
      <c r="U14" s="12" t="s">
        <v>54</v>
      </c>
      <c r="V14" s="18"/>
      <c r="W14" s="12" t="s">
        <v>56</v>
      </c>
      <c r="X14" s="12" t="s">
        <v>57</v>
      </c>
      <c r="Y14" s="12" t="s">
        <v>57</v>
      </c>
      <c r="Z14" s="14">
        <v>46268.0</v>
      </c>
      <c r="AA14" s="14">
        <v>46268.0</v>
      </c>
      <c r="AB14" s="16"/>
      <c r="AC14" s="12" t="str">
        <f t="shared" si="2"/>
        <v>FA011M01</v>
      </c>
    </row>
    <row r="15" ht="18.0" customHeight="1">
      <c r="A15" s="11">
        <f t="shared" si="1"/>
        <v>12</v>
      </c>
      <c r="B15" s="12" t="s">
        <v>43</v>
      </c>
      <c r="C15" s="12" t="s">
        <v>92</v>
      </c>
      <c r="D15" s="12" t="s">
        <v>45</v>
      </c>
      <c r="E15" s="12" t="s">
        <v>47</v>
      </c>
      <c r="F15" s="12" t="s">
        <v>96</v>
      </c>
      <c r="G15" s="31" t="s">
        <v>97</v>
      </c>
      <c r="H15" s="12" t="s">
        <v>95</v>
      </c>
      <c r="I15" s="32">
        <v>46267.0</v>
      </c>
      <c r="J15" s="32">
        <v>46276.0</v>
      </c>
      <c r="K15" s="15"/>
      <c r="L15" s="15"/>
      <c r="M15" s="16"/>
      <c r="N15" s="12" t="s">
        <v>82</v>
      </c>
      <c r="O15" s="12" t="s">
        <v>85</v>
      </c>
      <c r="P15" s="12">
        <v>1.0</v>
      </c>
      <c r="Q15" s="16"/>
      <c r="R15" s="32">
        <v>46236.0</v>
      </c>
      <c r="S15" s="16"/>
      <c r="T15" s="17"/>
      <c r="U15" s="12" t="s">
        <v>54</v>
      </c>
      <c r="V15" s="18"/>
      <c r="W15" s="12" t="s">
        <v>56</v>
      </c>
      <c r="X15" s="12" t="s">
        <v>57</v>
      </c>
      <c r="Y15" s="12" t="s">
        <v>57</v>
      </c>
      <c r="Z15" s="14">
        <v>46268.0</v>
      </c>
      <c r="AA15" s="19"/>
      <c r="AB15" s="16"/>
      <c r="AC15" s="12" t="str">
        <f t="shared" si="2"/>
        <v>FA011P01</v>
      </c>
    </row>
    <row r="16" ht="18.0" customHeight="1">
      <c r="A16" s="11">
        <f t="shared" si="1"/>
        <v>13</v>
      </c>
      <c r="B16" s="12" t="s">
        <v>43</v>
      </c>
      <c r="C16" s="12" t="s">
        <v>92</v>
      </c>
      <c r="D16" s="12" t="s">
        <v>45</v>
      </c>
      <c r="E16" s="12" t="s">
        <v>47</v>
      </c>
      <c r="F16" s="12" t="s">
        <v>98</v>
      </c>
      <c r="G16" s="31" t="s">
        <v>99</v>
      </c>
      <c r="H16" s="12" t="s">
        <v>95</v>
      </c>
      <c r="I16" s="32">
        <v>46277.0</v>
      </c>
      <c r="J16" s="32">
        <v>46278.0</v>
      </c>
      <c r="K16" s="15"/>
      <c r="L16" s="15"/>
      <c r="M16" s="16"/>
      <c r="N16" s="12" t="s">
        <v>82</v>
      </c>
      <c r="O16" s="12" t="s">
        <v>85</v>
      </c>
      <c r="P16" s="12">
        <v>1.0</v>
      </c>
      <c r="Q16" s="16"/>
      <c r="R16" s="32">
        <v>46236.0</v>
      </c>
      <c r="S16" s="16"/>
      <c r="T16" s="17"/>
      <c r="U16" s="12" t="s">
        <v>54</v>
      </c>
      <c r="V16" s="18"/>
      <c r="W16" s="12" t="s">
        <v>56</v>
      </c>
      <c r="X16" s="12" t="s">
        <v>57</v>
      </c>
      <c r="Y16" s="12" t="s">
        <v>57</v>
      </c>
      <c r="Z16" s="14">
        <v>46268.0</v>
      </c>
      <c r="AA16" s="19"/>
      <c r="AB16" s="16"/>
      <c r="AC16" s="12" t="str">
        <f t="shared" si="2"/>
        <v>FA011P02</v>
      </c>
    </row>
    <row r="17" ht="18.0" customHeight="1">
      <c r="A17" s="11">
        <f t="shared" si="1"/>
        <v>14</v>
      </c>
      <c r="B17" s="12" t="s">
        <v>43</v>
      </c>
      <c r="C17" s="12" t="s">
        <v>92</v>
      </c>
      <c r="D17" s="12" t="s">
        <v>45</v>
      </c>
      <c r="E17" s="12" t="s">
        <v>47</v>
      </c>
      <c r="F17" s="12" t="s">
        <v>100</v>
      </c>
      <c r="G17" s="31" t="s">
        <v>101</v>
      </c>
      <c r="H17" s="12" t="s">
        <v>95</v>
      </c>
      <c r="I17" s="32">
        <v>46281.0</v>
      </c>
      <c r="J17" s="32">
        <v>46288.0</v>
      </c>
      <c r="K17" s="15"/>
      <c r="L17" s="15"/>
      <c r="M17" s="16"/>
      <c r="N17" s="12" t="s">
        <v>54</v>
      </c>
      <c r="O17" s="12" t="s">
        <v>55</v>
      </c>
      <c r="P17" s="12">
        <v>1.0</v>
      </c>
      <c r="Q17" s="16"/>
      <c r="R17" s="32">
        <v>46236.0</v>
      </c>
      <c r="S17" s="16"/>
      <c r="T17" s="17"/>
      <c r="U17" s="12" t="s">
        <v>54</v>
      </c>
      <c r="V17" s="18"/>
      <c r="W17" s="12" t="s">
        <v>56</v>
      </c>
      <c r="X17" s="12" t="s">
        <v>57</v>
      </c>
      <c r="Y17" s="12" t="s">
        <v>57</v>
      </c>
      <c r="Z17" s="14">
        <v>46268.0</v>
      </c>
      <c r="AA17" s="14">
        <v>46268.0</v>
      </c>
      <c r="AB17" s="16"/>
      <c r="AC17" s="12" t="str">
        <f t="shared" si="2"/>
        <v>FA012M01</v>
      </c>
    </row>
    <row r="18" ht="18.0" customHeight="1">
      <c r="A18" s="11">
        <f t="shared" si="1"/>
        <v>15</v>
      </c>
      <c r="B18" s="12" t="s">
        <v>43</v>
      </c>
      <c r="C18" s="12" t="s">
        <v>92</v>
      </c>
      <c r="D18" s="12" t="s">
        <v>45</v>
      </c>
      <c r="E18" s="12" t="s">
        <v>47</v>
      </c>
      <c r="F18" s="12" t="s">
        <v>102</v>
      </c>
      <c r="G18" s="31" t="s">
        <v>103</v>
      </c>
      <c r="H18" s="12" t="s">
        <v>95</v>
      </c>
      <c r="I18" s="32">
        <v>46294.0</v>
      </c>
      <c r="J18" s="32">
        <v>46295.0</v>
      </c>
      <c r="K18" s="15"/>
      <c r="L18" s="15"/>
      <c r="M18" s="16"/>
      <c r="N18" s="12" t="s">
        <v>54</v>
      </c>
      <c r="O18" s="12" t="s">
        <v>55</v>
      </c>
      <c r="P18" s="12">
        <v>1.0</v>
      </c>
      <c r="Q18" s="16"/>
      <c r="R18" s="32">
        <v>46236.0</v>
      </c>
      <c r="S18" s="16"/>
      <c r="T18" s="17"/>
      <c r="U18" s="12" t="s">
        <v>54</v>
      </c>
      <c r="V18" s="18"/>
      <c r="W18" s="12" t="s">
        <v>56</v>
      </c>
      <c r="X18" s="12" t="s">
        <v>57</v>
      </c>
      <c r="Y18" s="12" t="s">
        <v>57</v>
      </c>
      <c r="Z18" s="14">
        <v>46268.0</v>
      </c>
      <c r="AA18" s="14">
        <v>46268.0</v>
      </c>
      <c r="AB18" s="16"/>
      <c r="AC18" s="12" t="str">
        <f t="shared" si="2"/>
        <v>FA012T01</v>
      </c>
    </row>
    <row r="19" ht="18.0" customHeight="1">
      <c r="A19" s="11">
        <f t="shared" si="1"/>
        <v>16</v>
      </c>
      <c r="B19" s="12" t="s">
        <v>43</v>
      </c>
      <c r="C19" s="12" t="s">
        <v>92</v>
      </c>
      <c r="D19" s="12" t="s">
        <v>45</v>
      </c>
      <c r="E19" s="12" t="s">
        <v>47</v>
      </c>
      <c r="F19" s="12" t="s">
        <v>104</v>
      </c>
      <c r="G19" s="31" t="s">
        <v>105</v>
      </c>
      <c r="H19" s="12" t="s">
        <v>95</v>
      </c>
      <c r="I19" s="32">
        <v>46294.0</v>
      </c>
      <c r="J19" s="32">
        <v>46295.0</v>
      </c>
      <c r="K19" s="15"/>
      <c r="L19" s="15"/>
      <c r="M19" s="16"/>
      <c r="N19" s="12" t="s">
        <v>54</v>
      </c>
      <c r="O19" s="12" t="s">
        <v>55</v>
      </c>
      <c r="P19" s="12">
        <v>1.0</v>
      </c>
      <c r="Q19" s="16"/>
      <c r="R19" s="32">
        <v>46236.0</v>
      </c>
      <c r="S19" s="16"/>
      <c r="T19" s="17"/>
      <c r="U19" s="12" t="s">
        <v>54</v>
      </c>
      <c r="V19" s="18"/>
      <c r="W19" s="12" t="s">
        <v>56</v>
      </c>
      <c r="X19" s="12" t="s">
        <v>57</v>
      </c>
      <c r="Y19" s="12" t="s">
        <v>57</v>
      </c>
      <c r="Z19" s="14">
        <v>46268.0</v>
      </c>
      <c r="AA19" s="14">
        <v>46268.0</v>
      </c>
      <c r="AB19" s="16"/>
      <c r="AC19" s="12" t="str">
        <f t="shared" si="2"/>
        <v>FA012T02</v>
      </c>
    </row>
    <row r="20" ht="18.0" customHeight="1">
      <c r="A20" s="11">
        <f t="shared" si="1"/>
        <v>17</v>
      </c>
      <c r="B20" s="12" t="s">
        <v>43</v>
      </c>
      <c r="C20" s="12" t="s">
        <v>92</v>
      </c>
      <c r="D20" s="12" t="s">
        <v>45</v>
      </c>
      <c r="E20" s="12" t="s">
        <v>47</v>
      </c>
      <c r="F20" s="12" t="s">
        <v>106</v>
      </c>
      <c r="G20" s="31" t="s">
        <v>107</v>
      </c>
      <c r="H20" s="12" t="s">
        <v>95</v>
      </c>
      <c r="I20" s="32">
        <v>46296.0</v>
      </c>
      <c r="J20" s="32">
        <v>46302.0</v>
      </c>
      <c r="K20" s="15"/>
      <c r="L20" s="15"/>
      <c r="M20" s="16"/>
      <c r="N20" s="12" t="s">
        <v>54</v>
      </c>
      <c r="O20" s="12" t="s">
        <v>55</v>
      </c>
      <c r="P20" s="12">
        <v>1.0</v>
      </c>
      <c r="Q20" s="16"/>
      <c r="R20" s="32">
        <v>46236.0</v>
      </c>
      <c r="S20" s="16"/>
      <c r="T20" s="17"/>
      <c r="U20" s="12" t="s">
        <v>54</v>
      </c>
      <c r="V20" s="18"/>
      <c r="W20" s="12" t="s">
        <v>56</v>
      </c>
      <c r="X20" s="12" t="s">
        <v>57</v>
      </c>
      <c r="Y20" s="12" t="s">
        <v>57</v>
      </c>
      <c r="Z20" s="14">
        <v>46268.0</v>
      </c>
      <c r="AA20" s="14">
        <v>46268.0</v>
      </c>
      <c r="AB20" s="16"/>
      <c r="AC20" s="12" t="str">
        <f t="shared" si="2"/>
        <v>FA013M01</v>
      </c>
    </row>
    <row r="21" ht="18.0" customHeight="1">
      <c r="A21" s="11">
        <f t="shared" si="1"/>
        <v>18</v>
      </c>
      <c r="B21" s="12" t="s">
        <v>43</v>
      </c>
      <c r="C21" s="12" t="s">
        <v>92</v>
      </c>
      <c r="D21" s="12" t="s">
        <v>45</v>
      </c>
      <c r="E21" s="12" t="s">
        <v>47</v>
      </c>
      <c r="F21" s="12" t="s">
        <v>108</v>
      </c>
      <c r="G21" s="31" t="s">
        <v>109</v>
      </c>
      <c r="H21" s="12" t="s">
        <v>95</v>
      </c>
      <c r="I21" s="32">
        <v>46305.0</v>
      </c>
      <c r="J21" s="32">
        <v>46306.0</v>
      </c>
      <c r="K21" s="15"/>
      <c r="L21" s="15"/>
      <c r="M21" s="16"/>
      <c r="N21" s="12" t="s">
        <v>54</v>
      </c>
      <c r="O21" s="12" t="s">
        <v>76</v>
      </c>
      <c r="P21" s="12">
        <v>1.0</v>
      </c>
      <c r="Q21" s="16"/>
      <c r="R21" s="32">
        <v>46236.0</v>
      </c>
      <c r="S21" s="16"/>
      <c r="T21" s="17"/>
      <c r="U21" s="12" t="s">
        <v>54</v>
      </c>
      <c r="V21" s="18"/>
      <c r="W21" s="12" t="s">
        <v>56</v>
      </c>
      <c r="X21" s="12" t="s">
        <v>57</v>
      </c>
      <c r="Y21" s="12" t="s">
        <v>57</v>
      </c>
      <c r="Z21" s="14">
        <v>46268.0</v>
      </c>
      <c r="AA21" s="14">
        <v>46268.0</v>
      </c>
      <c r="AB21" s="16"/>
      <c r="AC21" s="12" t="str">
        <f t="shared" si="2"/>
        <v>FA014M01</v>
      </c>
    </row>
    <row r="22" ht="18.0" customHeight="1">
      <c r="A22" s="11">
        <f t="shared" si="1"/>
        <v>19</v>
      </c>
      <c r="B22" s="12" t="s">
        <v>43</v>
      </c>
      <c r="C22" s="12" t="s">
        <v>92</v>
      </c>
      <c r="D22" s="12" t="s">
        <v>45</v>
      </c>
      <c r="E22" s="12" t="s">
        <v>47</v>
      </c>
      <c r="F22" s="12" t="s">
        <v>110</v>
      </c>
      <c r="G22" s="31" t="s">
        <v>111</v>
      </c>
      <c r="H22" s="12" t="s">
        <v>95</v>
      </c>
      <c r="I22" s="32">
        <v>46309.0</v>
      </c>
      <c r="J22" s="32">
        <v>46312.0</v>
      </c>
      <c r="K22" s="15"/>
      <c r="L22" s="15"/>
      <c r="M22" s="16"/>
      <c r="N22" s="12" t="s">
        <v>54</v>
      </c>
      <c r="O22" s="12" t="s">
        <v>76</v>
      </c>
      <c r="P22" s="12">
        <v>1.0</v>
      </c>
      <c r="Q22" s="16"/>
      <c r="R22" s="32">
        <v>46236.0</v>
      </c>
      <c r="S22" s="16"/>
      <c r="T22" s="17"/>
      <c r="U22" s="12" t="s">
        <v>54</v>
      </c>
      <c r="V22" s="18"/>
      <c r="W22" s="12" t="s">
        <v>56</v>
      </c>
      <c r="X22" s="12" t="s">
        <v>57</v>
      </c>
      <c r="Y22" s="12" t="s">
        <v>57</v>
      </c>
      <c r="Z22" s="14">
        <v>46268.0</v>
      </c>
      <c r="AA22" s="14">
        <v>46268.0</v>
      </c>
      <c r="AB22" s="16"/>
      <c r="AC22" s="12" t="str">
        <f t="shared" si="2"/>
        <v>FA021M01</v>
      </c>
    </row>
    <row r="23" ht="18.0" customHeight="1">
      <c r="A23" s="11">
        <f t="shared" si="1"/>
        <v>20</v>
      </c>
      <c r="B23" s="12" t="s">
        <v>43</v>
      </c>
      <c r="C23" s="12" t="s">
        <v>92</v>
      </c>
      <c r="D23" s="12" t="s">
        <v>45</v>
      </c>
      <c r="E23" s="12" t="s">
        <v>47</v>
      </c>
      <c r="F23" s="12" t="s">
        <v>112</v>
      </c>
      <c r="G23" s="31" t="s">
        <v>113</v>
      </c>
      <c r="H23" s="12" t="s">
        <v>95</v>
      </c>
      <c r="I23" s="32">
        <v>46313.0</v>
      </c>
      <c r="J23" s="32">
        <v>46313.0</v>
      </c>
      <c r="K23" s="15"/>
      <c r="L23" s="15"/>
      <c r="M23" s="16"/>
      <c r="N23" s="12" t="s">
        <v>82</v>
      </c>
      <c r="O23" s="12" t="s">
        <v>85</v>
      </c>
      <c r="P23" s="12">
        <v>1.0</v>
      </c>
      <c r="Q23" s="16"/>
      <c r="R23" s="32">
        <v>46236.0</v>
      </c>
      <c r="S23" s="16"/>
      <c r="T23" s="17"/>
      <c r="U23" s="12" t="s">
        <v>54</v>
      </c>
      <c r="V23" s="18"/>
      <c r="W23" s="12" t="s">
        <v>56</v>
      </c>
      <c r="X23" s="12" t="s">
        <v>57</v>
      </c>
      <c r="Y23" s="12" t="s">
        <v>57</v>
      </c>
      <c r="Z23" s="14">
        <v>46268.0</v>
      </c>
      <c r="AA23" s="19"/>
      <c r="AB23" s="16"/>
      <c r="AC23" s="12" t="str">
        <f t="shared" si="2"/>
        <v>FA021P01</v>
      </c>
    </row>
    <row r="24" ht="18.0" customHeight="1">
      <c r="A24" s="11">
        <f t="shared" si="1"/>
        <v>21</v>
      </c>
      <c r="B24" s="12" t="s">
        <v>43</v>
      </c>
      <c r="C24" s="12" t="s">
        <v>92</v>
      </c>
      <c r="D24" s="12" t="s">
        <v>45</v>
      </c>
      <c r="E24" s="12" t="s">
        <v>47</v>
      </c>
      <c r="F24" s="12" t="s">
        <v>114</v>
      </c>
      <c r="G24" s="31" t="s">
        <v>115</v>
      </c>
      <c r="H24" s="12" t="s">
        <v>95</v>
      </c>
      <c r="I24" s="32">
        <v>46316.0</v>
      </c>
      <c r="J24" s="32">
        <v>46320.0</v>
      </c>
      <c r="K24" s="15"/>
      <c r="L24" s="15"/>
      <c r="M24" s="16"/>
      <c r="N24" s="12" t="s">
        <v>54</v>
      </c>
      <c r="O24" s="12" t="s">
        <v>76</v>
      </c>
      <c r="P24" s="12">
        <v>1.0</v>
      </c>
      <c r="Q24" s="16"/>
      <c r="R24" s="32">
        <v>46236.0</v>
      </c>
      <c r="S24" s="16"/>
      <c r="T24" s="17"/>
      <c r="U24" s="12" t="s">
        <v>54</v>
      </c>
      <c r="V24" s="18"/>
      <c r="W24" s="12" t="s">
        <v>56</v>
      </c>
      <c r="X24" s="12" t="s">
        <v>57</v>
      </c>
      <c r="Y24" s="12" t="s">
        <v>57</v>
      </c>
      <c r="Z24" s="14">
        <v>46268.0</v>
      </c>
      <c r="AA24" s="14">
        <v>46268.0</v>
      </c>
      <c r="AB24" s="16"/>
      <c r="AC24" s="12" t="str">
        <f t="shared" si="2"/>
        <v>FA022M01</v>
      </c>
    </row>
    <row r="25" ht="18.0" customHeight="1">
      <c r="A25" s="11">
        <f t="shared" si="1"/>
        <v>22</v>
      </c>
      <c r="B25" s="12" t="s">
        <v>43</v>
      </c>
      <c r="C25" s="12" t="s">
        <v>92</v>
      </c>
      <c r="D25" s="12" t="s">
        <v>45</v>
      </c>
      <c r="E25" s="12" t="s">
        <v>47</v>
      </c>
      <c r="F25" s="12" t="s">
        <v>121</v>
      </c>
      <c r="G25" s="31" t="s">
        <v>122</v>
      </c>
      <c r="H25" s="12" t="s">
        <v>123</v>
      </c>
      <c r="I25" s="32">
        <v>46267.0</v>
      </c>
      <c r="J25" s="32">
        <v>46278.0</v>
      </c>
      <c r="K25" s="15"/>
      <c r="L25" s="15"/>
      <c r="M25" s="16"/>
      <c r="N25" s="12" t="s">
        <v>54</v>
      </c>
      <c r="O25" s="12" t="s">
        <v>76</v>
      </c>
      <c r="P25" s="12">
        <v>1.0</v>
      </c>
      <c r="Q25" s="16"/>
      <c r="R25" s="32">
        <v>46236.0</v>
      </c>
      <c r="S25" s="16"/>
      <c r="T25" s="17"/>
      <c r="U25" s="12" t="s">
        <v>54</v>
      </c>
      <c r="V25" s="18"/>
      <c r="W25" s="12" t="s">
        <v>56</v>
      </c>
      <c r="X25" s="12" t="s">
        <v>57</v>
      </c>
      <c r="Y25" s="12" t="s">
        <v>57</v>
      </c>
      <c r="Z25" s="14">
        <v>46268.0</v>
      </c>
      <c r="AA25" s="14">
        <v>46268.0</v>
      </c>
      <c r="AB25" s="16"/>
      <c r="AC25" s="12" t="str">
        <f t="shared" si="2"/>
        <v>FA023M01</v>
      </c>
    </row>
    <row r="26" ht="18.0" customHeight="1">
      <c r="A26" s="11">
        <f t="shared" si="1"/>
        <v>23</v>
      </c>
      <c r="B26" s="12" t="s">
        <v>43</v>
      </c>
      <c r="C26" s="12" t="s">
        <v>92</v>
      </c>
      <c r="D26" s="12" t="s">
        <v>45</v>
      </c>
      <c r="E26" s="12" t="s">
        <v>47</v>
      </c>
      <c r="F26" s="12" t="s">
        <v>124</v>
      </c>
      <c r="G26" s="31" t="s">
        <v>125</v>
      </c>
      <c r="H26" s="12" t="s">
        <v>123</v>
      </c>
      <c r="I26" s="32">
        <v>46281.0</v>
      </c>
      <c r="J26" s="32">
        <v>46288.0</v>
      </c>
      <c r="K26" s="15"/>
      <c r="L26" s="15"/>
      <c r="M26" s="16"/>
      <c r="N26" s="12" t="s">
        <v>54</v>
      </c>
      <c r="O26" s="12" t="s">
        <v>76</v>
      </c>
      <c r="P26" s="12">
        <v>1.0</v>
      </c>
      <c r="Q26" s="16"/>
      <c r="R26" s="32">
        <v>46236.0</v>
      </c>
      <c r="S26" s="16"/>
      <c r="T26" s="17"/>
      <c r="U26" s="12" t="s">
        <v>54</v>
      </c>
      <c r="V26" s="18"/>
      <c r="W26" s="12" t="s">
        <v>56</v>
      </c>
      <c r="X26" s="12" t="s">
        <v>57</v>
      </c>
      <c r="Y26" s="12" t="s">
        <v>57</v>
      </c>
      <c r="Z26" s="14">
        <v>46268.0</v>
      </c>
      <c r="AA26" s="14">
        <v>46268.0</v>
      </c>
      <c r="AB26" s="16"/>
      <c r="AC26" s="12" t="str">
        <f t="shared" si="2"/>
        <v>FA024M01</v>
      </c>
    </row>
    <row r="27" ht="18.0" customHeight="1">
      <c r="A27" s="11">
        <f t="shared" si="1"/>
        <v>24</v>
      </c>
      <c r="B27" s="12" t="s">
        <v>43</v>
      </c>
      <c r="C27" s="12" t="s">
        <v>92</v>
      </c>
      <c r="D27" s="12" t="s">
        <v>45</v>
      </c>
      <c r="E27" s="12" t="s">
        <v>47</v>
      </c>
      <c r="F27" s="12" t="s">
        <v>126</v>
      </c>
      <c r="G27" s="31" t="s">
        <v>127</v>
      </c>
      <c r="H27" s="12" t="s">
        <v>123</v>
      </c>
      <c r="I27" s="32">
        <v>46299.0</v>
      </c>
      <c r="J27" s="32">
        <v>46310.0</v>
      </c>
      <c r="K27" s="15"/>
      <c r="L27" s="15"/>
      <c r="M27" s="16"/>
      <c r="N27" s="12" t="s">
        <v>54</v>
      </c>
      <c r="O27" s="12" t="s">
        <v>55</v>
      </c>
      <c r="P27" s="12">
        <v>1.0</v>
      </c>
      <c r="Q27" s="16"/>
      <c r="R27" s="32">
        <v>46236.0</v>
      </c>
      <c r="S27" s="16"/>
      <c r="T27" s="17"/>
      <c r="U27" s="12" t="s">
        <v>54</v>
      </c>
      <c r="V27" s="18"/>
      <c r="W27" s="12" t="s">
        <v>56</v>
      </c>
      <c r="X27" s="12" t="s">
        <v>57</v>
      </c>
      <c r="Y27" s="12" t="s">
        <v>57</v>
      </c>
      <c r="Z27" s="14">
        <v>46268.0</v>
      </c>
      <c r="AA27" s="14">
        <v>46268.0</v>
      </c>
      <c r="AB27" s="16"/>
      <c r="AC27" s="12" t="str">
        <f t="shared" si="2"/>
        <v>FA025M01</v>
      </c>
    </row>
    <row r="28" ht="18.0" customHeight="1">
      <c r="A28" s="11">
        <f t="shared" si="1"/>
        <v>25</v>
      </c>
      <c r="B28" s="12" t="s">
        <v>43</v>
      </c>
      <c r="C28" s="12" t="s">
        <v>92</v>
      </c>
      <c r="D28" s="12" t="s">
        <v>45</v>
      </c>
      <c r="E28" s="12" t="s">
        <v>47</v>
      </c>
      <c r="F28" s="12" t="s">
        <v>128</v>
      </c>
      <c r="G28" s="31" t="s">
        <v>129</v>
      </c>
      <c r="H28" s="12" t="s">
        <v>123</v>
      </c>
      <c r="I28" s="32">
        <v>46311.0</v>
      </c>
      <c r="J28" s="32">
        <v>46317.0</v>
      </c>
      <c r="K28" s="15"/>
      <c r="L28" s="15"/>
      <c r="M28" s="16"/>
      <c r="N28" s="12" t="s">
        <v>54</v>
      </c>
      <c r="O28" s="12" t="s">
        <v>76</v>
      </c>
      <c r="P28" s="12">
        <v>1.0</v>
      </c>
      <c r="Q28" s="16"/>
      <c r="R28" s="32">
        <v>46236.0</v>
      </c>
      <c r="S28" s="16"/>
      <c r="T28" s="17"/>
      <c r="U28" s="12" t="s">
        <v>54</v>
      </c>
      <c r="V28" s="18"/>
      <c r="W28" s="12" t="s">
        <v>56</v>
      </c>
      <c r="X28" s="12" t="s">
        <v>57</v>
      </c>
      <c r="Y28" s="12" t="s">
        <v>57</v>
      </c>
      <c r="Z28" s="14">
        <v>46268.0</v>
      </c>
      <c r="AA28" s="14">
        <v>46268.0</v>
      </c>
      <c r="AB28" s="16"/>
      <c r="AC28" s="12" t="str">
        <f t="shared" si="2"/>
        <v>FA025T01</v>
      </c>
    </row>
    <row r="29" ht="18.0" customHeight="1">
      <c r="A29" s="11">
        <f t="shared" si="1"/>
        <v>26</v>
      </c>
      <c r="B29" s="12" t="s">
        <v>43</v>
      </c>
      <c r="C29" s="12" t="s">
        <v>92</v>
      </c>
      <c r="D29" s="12" t="s">
        <v>45</v>
      </c>
      <c r="E29" s="12" t="s">
        <v>47</v>
      </c>
      <c r="F29" s="12" t="s">
        <v>130</v>
      </c>
      <c r="G29" s="31" t="s">
        <v>131</v>
      </c>
      <c r="H29" s="12" t="s">
        <v>123</v>
      </c>
      <c r="I29" s="32">
        <v>46318.0</v>
      </c>
      <c r="J29" s="32">
        <v>46320.0</v>
      </c>
      <c r="K29" s="15"/>
      <c r="L29" s="15"/>
      <c r="M29" s="16"/>
      <c r="N29" s="12" t="s">
        <v>54</v>
      </c>
      <c r="O29" s="12" t="s">
        <v>76</v>
      </c>
      <c r="P29" s="12">
        <v>1.0</v>
      </c>
      <c r="Q29" s="16"/>
      <c r="R29" s="32">
        <v>46236.0</v>
      </c>
      <c r="S29" s="16"/>
      <c r="T29" s="17"/>
      <c r="U29" s="12" t="s">
        <v>54</v>
      </c>
      <c r="V29" s="18"/>
      <c r="W29" s="12" t="s">
        <v>56</v>
      </c>
      <c r="X29" s="12" t="s">
        <v>57</v>
      </c>
      <c r="Y29" s="12" t="s">
        <v>57</v>
      </c>
      <c r="Z29" s="14">
        <v>46268.0</v>
      </c>
      <c r="AA29" s="14">
        <v>46268.0</v>
      </c>
      <c r="AB29" s="16"/>
      <c r="AC29" s="12" t="str">
        <f t="shared" si="2"/>
        <v>FA025T02</v>
      </c>
    </row>
    <row r="30" ht="18.0" customHeight="1">
      <c r="A30" s="11">
        <f t="shared" si="1"/>
        <v>27</v>
      </c>
      <c r="B30" s="12" t="s">
        <v>43</v>
      </c>
      <c r="C30" s="12" t="s">
        <v>92</v>
      </c>
      <c r="D30" s="12" t="s">
        <v>45</v>
      </c>
      <c r="E30" s="12" t="s">
        <v>47</v>
      </c>
      <c r="F30" s="12" t="s">
        <v>132</v>
      </c>
      <c r="G30" s="31" t="s">
        <v>133</v>
      </c>
      <c r="H30" s="12" t="s">
        <v>123</v>
      </c>
      <c r="I30" s="32">
        <v>46323.0</v>
      </c>
      <c r="J30" s="32">
        <v>46323.0</v>
      </c>
      <c r="K30" s="15"/>
      <c r="L30" s="15"/>
      <c r="M30" s="16"/>
      <c r="N30" s="12" t="s">
        <v>54</v>
      </c>
      <c r="O30" s="12" t="s">
        <v>85</v>
      </c>
      <c r="P30" s="12">
        <v>1.0</v>
      </c>
      <c r="Q30" s="16"/>
      <c r="R30" s="32">
        <v>46236.0</v>
      </c>
      <c r="S30" s="16"/>
      <c r="T30" s="17"/>
      <c r="U30" s="12" t="s">
        <v>54</v>
      </c>
      <c r="V30" s="18"/>
      <c r="W30" s="12" t="s">
        <v>56</v>
      </c>
      <c r="X30" s="12" t="s">
        <v>57</v>
      </c>
      <c r="Y30" s="12" t="s">
        <v>57</v>
      </c>
      <c r="Z30" s="14">
        <v>46268.0</v>
      </c>
      <c r="AA30" s="14">
        <v>46268.0</v>
      </c>
      <c r="AB30" s="16"/>
      <c r="AC30" s="12" t="str">
        <f t="shared" si="2"/>
        <v>FA026M01</v>
      </c>
    </row>
    <row r="31" ht="18.0" customHeight="1">
      <c r="A31" s="11">
        <f t="shared" si="1"/>
        <v>28</v>
      </c>
      <c r="B31" s="12" t="s">
        <v>43</v>
      </c>
      <c r="C31" s="12" t="s">
        <v>92</v>
      </c>
      <c r="D31" s="12" t="s">
        <v>45</v>
      </c>
      <c r="E31" s="12" t="s">
        <v>47</v>
      </c>
      <c r="F31" s="12" t="s">
        <v>134</v>
      </c>
      <c r="G31" s="31" t="s">
        <v>135</v>
      </c>
      <c r="H31" s="12" t="s">
        <v>123</v>
      </c>
      <c r="I31" s="32">
        <v>46324.0</v>
      </c>
      <c r="J31" s="32">
        <v>46326.0</v>
      </c>
      <c r="K31" s="15"/>
      <c r="L31" s="15"/>
      <c r="M31" s="16"/>
      <c r="N31" s="12" t="s">
        <v>54</v>
      </c>
      <c r="O31" s="12" t="s">
        <v>76</v>
      </c>
      <c r="P31" s="12">
        <v>1.0</v>
      </c>
      <c r="Q31" s="16"/>
      <c r="R31" s="32">
        <v>46236.0</v>
      </c>
      <c r="S31" s="16"/>
      <c r="T31" s="17"/>
      <c r="U31" s="12" t="s">
        <v>54</v>
      </c>
      <c r="V31" s="18"/>
      <c r="W31" s="12" t="s">
        <v>56</v>
      </c>
      <c r="X31" s="12" t="s">
        <v>57</v>
      </c>
      <c r="Y31" s="12" t="s">
        <v>57</v>
      </c>
      <c r="Z31" s="14">
        <v>46268.0</v>
      </c>
      <c r="AA31" s="14">
        <v>46268.0</v>
      </c>
      <c r="AB31" s="16"/>
      <c r="AC31" s="12" t="str">
        <f t="shared" si="2"/>
        <v>FA027M01</v>
      </c>
    </row>
    <row r="32" ht="18.0" customHeight="1">
      <c r="A32" s="11">
        <f t="shared" si="1"/>
        <v>29</v>
      </c>
      <c r="B32" s="12" t="s">
        <v>43</v>
      </c>
      <c r="C32" s="12" t="s">
        <v>92</v>
      </c>
      <c r="D32" s="12" t="s">
        <v>45</v>
      </c>
      <c r="E32" s="12" t="s">
        <v>47</v>
      </c>
      <c r="F32" s="12" t="s">
        <v>136</v>
      </c>
      <c r="G32" s="31" t="s">
        <v>137</v>
      </c>
      <c r="H32" s="12" t="s">
        <v>53</v>
      </c>
      <c r="I32" s="32">
        <v>46348.0</v>
      </c>
      <c r="J32" s="32">
        <v>46355.0</v>
      </c>
      <c r="K32" s="15"/>
      <c r="L32" s="15"/>
      <c r="M32" s="16"/>
      <c r="N32" s="12" t="s">
        <v>54</v>
      </c>
      <c r="O32" s="12" t="s">
        <v>55</v>
      </c>
      <c r="P32" s="12">
        <v>1.0</v>
      </c>
      <c r="Q32" s="16"/>
      <c r="R32" s="32">
        <v>46236.0</v>
      </c>
      <c r="S32" s="16"/>
      <c r="T32" s="17"/>
      <c r="U32" s="12" t="s">
        <v>54</v>
      </c>
      <c r="V32" s="18"/>
      <c r="W32" s="12" t="s">
        <v>56</v>
      </c>
      <c r="X32" s="12" t="s">
        <v>57</v>
      </c>
      <c r="Y32" s="12" t="s">
        <v>57</v>
      </c>
      <c r="Z32" s="14">
        <v>46268.0</v>
      </c>
      <c r="AA32" s="14">
        <v>46268.0</v>
      </c>
      <c r="AB32" s="16"/>
      <c r="AC32" s="12" t="str">
        <f t="shared" si="2"/>
        <v>FA031M01</v>
      </c>
    </row>
    <row r="33" ht="18.0" customHeight="1">
      <c r="A33" s="11">
        <f t="shared" si="1"/>
        <v>30</v>
      </c>
      <c r="B33" s="12" t="s">
        <v>43</v>
      </c>
      <c r="C33" s="12" t="s">
        <v>92</v>
      </c>
      <c r="D33" s="12" t="s">
        <v>45</v>
      </c>
      <c r="E33" s="12" t="s">
        <v>47</v>
      </c>
      <c r="F33" s="12" t="s">
        <v>139</v>
      </c>
      <c r="G33" s="31" t="s">
        <v>140</v>
      </c>
      <c r="H33" s="12" t="s">
        <v>123</v>
      </c>
      <c r="I33" s="32">
        <v>46327.0</v>
      </c>
      <c r="J33" s="32">
        <v>46332.0</v>
      </c>
      <c r="K33" s="15"/>
      <c r="L33" s="15"/>
      <c r="M33" s="16"/>
      <c r="N33" s="12" t="s">
        <v>54</v>
      </c>
      <c r="O33" s="12" t="s">
        <v>55</v>
      </c>
      <c r="P33" s="12">
        <v>1.0</v>
      </c>
      <c r="Q33" s="16"/>
      <c r="R33" s="32">
        <v>46236.0</v>
      </c>
      <c r="S33" s="16"/>
      <c r="T33" s="17"/>
      <c r="U33" s="12" t="s">
        <v>54</v>
      </c>
      <c r="V33" s="18"/>
      <c r="W33" s="12" t="s">
        <v>56</v>
      </c>
      <c r="X33" s="12" t="s">
        <v>57</v>
      </c>
      <c r="Y33" s="12" t="s">
        <v>57</v>
      </c>
      <c r="Z33" s="14">
        <v>46268.0</v>
      </c>
      <c r="AA33" s="14">
        <v>46268.0</v>
      </c>
      <c r="AB33" s="16"/>
      <c r="AC33" s="12" t="str">
        <f t="shared" si="2"/>
        <v>FA032M01</v>
      </c>
    </row>
    <row r="34" ht="18.0" customHeight="1">
      <c r="A34" s="11">
        <f t="shared" si="1"/>
        <v>31</v>
      </c>
      <c r="B34" s="12" t="s">
        <v>43</v>
      </c>
      <c r="C34" s="12" t="s">
        <v>92</v>
      </c>
      <c r="D34" s="12" t="s">
        <v>45</v>
      </c>
      <c r="E34" s="12" t="s">
        <v>47</v>
      </c>
      <c r="F34" s="12" t="s">
        <v>144</v>
      </c>
      <c r="G34" s="31" t="s">
        <v>145</v>
      </c>
      <c r="H34" s="12" t="s">
        <v>123</v>
      </c>
      <c r="I34" s="32">
        <v>46333.0</v>
      </c>
      <c r="J34" s="32">
        <v>46334.0</v>
      </c>
      <c r="K34" s="15"/>
      <c r="L34" s="15"/>
      <c r="M34" s="16"/>
      <c r="N34" s="12" t="s">
        <v>82</v>
      </c>
      <c r="O34" s="12" t="s">
        <v>85</v>
      </c>
      <c r="P34" s="12">
        <v>1.0</v>
      </c>
      <c r="Q34" s="16"/>
      <c r="R34" s="32">
        <v>46236.0</v>
      </c>
      <c r="S34" s="16"/>
      <c r="T34" s="17"/>
      <c r="U34" s="12" t="s">
        <v>54</v>
      </c>
      <c r="V34" s="18"/>
      <c r="W34" s="12" t="s">
        <v>56</v>
      </c>
      <c r="X34" s="12" t="s">
        <v>57</v>
      </c>
      <c r="Y34" s="12" t="s">
        <v>57</v>
      </c>
      <c r="Z34" s="16"/>
      <c r="AA34" s="19"/>
      <c r="AB34" s="16"/>
      <c r="AC34" s="12" t="str">
        <f t="shared" si="2"/>
        <v>FA032P01</v>
      </c>
    </row>
    <row r="35" ht="18.0" customHeight="1">
      <c r="A35" s="11">
        <f t="shared" si="1"/>
        <v>32</v>
      </c>
      <c r="B35" s="12" t="s">
        <v>43</v>
      </c>
      <c r="C35" s="12" t="s">
        <v>92</v>
      </c>
      <c r="D35" s="12" t="s">
        <v>45</v>
      </c>
      <c r="E35" s="12" t="s">
        <v>47</v>
      </c>
      <c r="F35" s="12" t="s">
        <v>147</v>
      </c>
      <c r="G35" s="31" t="s">
        <v>148</v>
      </c>
      <c r="H35" s="12" t="s">
        <v>123</v>
      </c>
      <c r="I35" s="32">
        <v>46337.0</v>
      </c>
      <c r="J35" s="32">
        <v>46341.0</v>
      </c>
      <c r="K35" s="15"/>
      <c r="L35" s="15"/>
      <c r="M35" s="16"/>
      <c r="N35" s="12" t="s">
        <v>54</v>
      </c>
      <c r="O35" s="12" t="s">
        <v>55</v>
      </c>
      <c r="P35" s="12">
        <v>1.0</v>
      </c>
      <c r="Q35" s="16"/>
      <c r="R35" s="32">
        <v>46236.0</v>
      </c>
      <c r="S35" s="16"/>
      <c r="T35" s="17"/>
      <c r="U35" s="12" t="s">
        <v>54</v>
      </c>
      <c r="V35" s="18"/>
      <c r="W35" s="12" t="s">
        <v>56</v>
      </c>
      <c r="X35" s="12" t="s">
        <v>57</v>
      </c>
      <c r="Y35" s="12" t="s">
        <v>57</v>
      </c>
      <c r="Z35" s="14">
        <v>46268.0</v>
      </c>
      <c r="AA35" s="14">
        <v>46268.0</v>
      </c>
      <c r="AB35" s="16"/>
      <c r="AC35" s="12" t="str">
        <f t="shared" si="2"/>
        <v>FA033M01</v>
      </c>
    </row>
    <row r="36" ht="18.0" customHeight="1">
      <c r="A36" s="11">
        <f t="shared" si="1"/>
        <v>33</v>
      </c>
      <c r="B36" s="12" t="s">
        <v>43</v>
      </c>
      <c r="C36" s="12" t="s">
        <v>92</v>
      </c>
      <c r="D36" s="12" t="s">
        <v>45</v>
      </c>
      <c r="E36" s="12" t="s">
        <v>47</v>
      </c>
      <c r="F36" s="12" t="s">
        <v>149</v>
      </c>
      <c r="G36" s="31" t="s">
        <v>150</v>
      </c>
      <c r="H36" s="12" t="s">
        <v>95</v>
      </c>
      <c r="I36" s="32">
        <v>46323.0</v>
      </c>
      <c r="J36" s="32">
        <v>46325.0</v>
      </c>
      <c r="K36" s="15"/>
      <c r="L36" s="15"/>
      <c r="M36" s="16"/>
      <c r="N36" s="12" t="s">
        <v>54</v>
      </c>
      <c r="O36" s="12" t="s">
        <v>76</v>
      </c>
      <c r="P36" s="12">
        <v>1.0</v>
      </c>
      <c r="Q36" s="16"/>
      <c r="R36" s="32">
        <v>46236.0</v>
      </c>
      <c r="S36" s="16"/>
      <c r="T36" s="17"/>
      <c r="U36" s="12" t="s">
        <v>54</v>
      </c>
      <c r="V36" s="18"/>
      <c r="W36" s="12" t="s">
        <v>56</v>
      </c>
      <c r="X36" s="12" t="s">
        <v>57</v>
      </c>
      <c r="Y36" s="12" t="s">
        <v>57</v>
      </c>
      <c r="Z36" s="14">
        <v>46268.0</v>
      </c>
      <c r="AA36" s="14">
        <v>46268.0</v>
      </c>
      <c r="AB36" s="16"/>
      <c r="AC36" s="12" t="str">
        <f t="shared" si="2"/>
        <v>FA041M01</v>
      </c>
    </row>
    <row r="37" ht="18.0" customHeight="1">
      <c r="A37" s="11">
        <f t="shared" si="1"/>
        <v>34</v>
      </c>
      <c r="B37" s="12" t="s">
        <v>43</v>
      </c>
      <c r="C37" s="12" t="s">
        <v>92</v>
      </c>
      <c r="D37" s="12" t="s">
        <v>45</v>
      </c>
      <c r="E37" s="12" t="s">
        <v>47</v>
      </c>
      <c r="F37" s="12" t="s">
        <v>153</v>
      </c>
      <c r="G37" s="31" t="s">
        <v>154</v>
      </c>
      <c r="H37" s="12" t="s">
        <v>95</v>
      </c>
      <c r="I37" s="32">
        <v>46326.0</v>
      </c>
      <c r="J37" s="32">
        <v>46332.0</v>
      </c>
      <c r="K37" s="15"/>
      <c r="L37" s="15"/>
      <c r="M37" s="16"/>
      <c r="N37" s="12" t="s">
        <v>54</v>
      </c>
      <c r="O37" s="12" t="s">
        <v>76</v>
      </c>
      <c r="P37" s="12">
        <v>1.0</v>
      </c>
      <c r="Q37" s="16"/>
      <c r="R37" s="32">
        <v>46236.0</v>
      </c>
      <c r="S37" s="16"/>
      <c r="T37" s="17"/>
      <c r="U37" s="12" t="s">
        <v>54</v>
      </c>
      <c r="V37" s="18"/>
      <c r="W37" s="12" t="s">
        <v>56</v>
      </c>
      <c r="X37" s="12" t="s">
        <v>57</v>
      </c>
      <c r="Y37" s="12" t="s">
        <v>57</v>
      </c>
      <c r="Z37" s="14">
        <v>46268.0</v>
      </c>
      <c r="AA37" s="14">
        <v>46268.0</v>
      </c>
      <c r="AB37" s="16"/>
      <c r="AC37" s="12" t="str">
        <f t="shared" si="2"/>
        <v>FA042M01</v>
      </c>
    </row>
    <row r="38" ht="18.0" customHeight="1">
      <c r="A38" s="11">
        <f t="shared" si="1"/>
        <v>35</v>
      </c>
      <c r="B38" s="12" t="s">
        <v>43</v>
      </c>
      <c r="C38" s="12" t="s">
        <v>92</v>
      </c>
      <c r="D38" s="12" t="s">
        <v>45</v>
      </c>
      <c r="E38" s="12" t="s">
        <v>47</v>
      </c>
      <c r="F38" s="12" t="s">
        <v>155</v>
      </c>
      <c r="G38" s="31" t="s">
        <v>156</v>
      </c>
      <c r="H38" s="12" t="s">
        <v>95</v>
      </c>
      <c r="I38" s="32">
        <v>46333.0</v>
      </c>
      <c r="J38" s="32">
        <v>46334.0</v>
      </c>
      <c r="K38" s="15"/>
      <c r="L38" s="15"/>
      <c r="M38" s="16"/>
      <c r="N38" s="12" t="s">
        <v>54</v>
      </c>
      <c r="O38" s="12" t="s">
        <v>76</v>
      </c>
      <c r="P38" s="12">
        <v>1.0</v>
      </c>
      <c r="Q38" s="16"/>
      <c r="R38" s="32">
        <v>46236.0</v>
      </c>
      <c r="S38" s="16"/>
      <c r="T38" s="17"/>
      <c r="U38" s="12" t="s">
        <v>54</v>
      </c>
      <c r="V38" s="18"/>
      <c r="W38" s="12" t="s">
        <v>56</v>
      </c>
      <c r="X38" s="12" t="s">
        <v>57</v>
      </c>
      <c r="Y38" s="12" t="s">
        <v>57</v>
      </c>
      <c r="Z38" s="14">
        <v>46268.0</v>
      </c>
      <c r="AA38" s="14">
        <v>46268.0</v>
      </c>
      <c r="AB38" s="16"/>
      <c r="AC38" s="12" t="str">
        <f t="shared" si="2"/>
        <v>FA043M01</v>
      </c>
    </row>
    <row r="39" ht="18.0" customHeight="1">
      <c r="A39" s="11">
        <f t="shared" si="1"/>
        <v>36</v>
      </c>
      <c r="B39" s="12" t="s">
        <v>43</v>
      </c>
      <c r="C39" s="12" t="s">
        <v>92</v>
      </c>
      <c r="D39" s="12" t="s">
        <v>45</v>
      </c>
      <c r="E39" s="12" t="s">
        <v>47</v>
      </c>
      <c r="F39" s="12" t="s">
        <v>157</v>
      </c>
      <c r="G39" s="31" t="s">
        <v>158</v>
      </c>
      <c r="H39" s="12" t="s">
        <v>95</v>
      </c>
      <c r="I39" s="32">
        <v>46337.0</v>
      </c>
      <c r="J39" s="32">
        <v>46340.0</v>
      </c>
      <c r="K39" s="15"/>
      <c r="L39" s="15"/>
      <c r="M39" s="16"/>
      <c r="N39" s="12" t="s">
        <v>54</v>
      </c>
      <c r="O39" s="12" t="s">
        <v>76</v>
      </c>
      <c r="P39" s="12">
        <v>1.0</v>
      </c>
      <c r="Q39" s="16"/>
      <c r="R39" s="32">
        <v>46236.0</v>
      </c>
      <c r="S39" s="16"/>
      <c r="T39" s="17"/>
      <c r="U39" s="12" t="s">
        <v>54</v>
      </c>
      <c r="V39" s="18"/>
      <c r="W39" s="12" t="s">
        <v>56</v>
      </c>
      <c r="X39" s="12" t="s">
        <v>57</v>
      </c>
      <c r="Y39" s="12" t="s">
        <v>57</v>
      </c>
      <c r="Z39" s="14">
        <v>46268.0</v>
      </c>
      <c r="AA39" s="14">
        <v>46268.0</v>
      </c>
      <c r="AB39" s="16"/>
      <c r="AC39" s="12" t="str">
        <f t="shared" si="2"/>
        <v>FA044M01</v>
      </c>
    </row>
    <row r="40" ht="18.0" customHeight="1">
      <c r="A40" s="11">
        <f t="shared" si="1"/>
        <v>37</v>
      </c>
      <c r="B40" s="12" t="s">
        <v>43</v>
      </c>
      <c r="C40" s="12" t="s">
        <v>92</v>
      </c>
      <c r="D40" s="12" t="s">
        <v>45</v>
      </c>
      <c r="E40" s="12" t="s">
        <v>47</v>
      </c>
      <c r="F40" s="12" t="s">
        <v>159</v>
      </c>
      <c r="G40" s="31" t="s">
        <v>160</v>
      </c>
      <c r="H40" s="12" t="s">
        <v>95</v>
      </c>
      <c r="I40" s="32">
        <v>46337.0</v>
      </c>
      <c r="J40" s="32">
        <v>46340.0</v>
      </c>
      <c r="K40" s="15"/>
      <c r="L40" s="15"/>
      <c r="M40" s="16"/>
      <c r="N40" s="12" t="s">
        <v>54</v>
      </c>
      <c r="O40" s="12" t="s">
        <v>76</v>
      </c>
      <c r="P40" s="12">
        <v>1.0</v>
      </c>
      <c r="Q40" s="16"/>
      <c r="R40" s="32">
        <v>46236.0</v>
      </c>
      <c r="S40" s="16"/>
      <c r="T40" s="17"/>
      <c r="U40" s="12" t="s">
        <v>54</v>
      </c>
      <c r="V40" s="18"/>
      <c r="W40" s="12" t="s">
        <v>56</v>
      </c>
      <c r="X40" s="12" t="s">
        <v>57</v>
      </c>
      <c r="Y40" s="12" t="s">
        <v>57</v>
      </c>
      <c r="Z40" s="14">
        <v>46268.0</v>
      </c>
      <c r="AA40" s="14">
        <v>46268.0</v>
      </c>
      <c r="AB40" s="16"/>
      <c r="AC40" s="12" t="str">
        <f t="shared" si="2"/>
        <v>FA044T01</v>
      </c>
    </row>
    <row r="41" ht="18.0" customHeight="1">
      <c r="A41" s="11">
        <f t="shared" si="1"/>
        <v>38</v>
      </c>
      <c r="B41" s="12" t="s">
        <v>43</v>
      </c>
      <c r="C41" s="12" t="s">
        <v>92</v>
      </c>
      <c r="D41" s="12" t="s">
        <v>45</v>
      </c>
      <c r="E41" s="12" t="s">
        <v>47</v>
      </c>
      <c r="F41" s="12" t="s">
        <v>161</v>
      </c>
      <c r="G41" s="31" t="s">
        <v>162</v>
      </c>
      <c r="H41" s="12" t="s">
        <v>95</v>
      </c>
      <c r="I41" s="32">
        <v>46337.0</v>
      </c>
      <c r="J41" s="32">
        <v>46340.0</v>
      </c>
      <c r="K41" s="15"/>
      <c r="L41" s="15"/>
      <c r="M41" s="16"/>
      <c r="N41" s="12" t="s">
        <v>54</v>
      </c>
      <c r="O41" s="12" t="s">
        <v>76</v>
      </c>
      <c r="P41" s="12">
        <v>1.0</v>
      </c>
      <c r="Q41" s="16"/>
      <c r="R41" s="32">
        <v>46236.0</v>
      </c>
      <c r="S41" s="16"/>
      <c r="T41" s="17"/>
      <c r="U41" s="12" t="s">
        <v>54</v>
      </c>
      <c r="V41" s="18"/>
      <c r="W41" s="12" t="s">
        <v>56</v>
      </c>
      <c r="X41" s="12" t="s">
        <v>57</v>
      </c>
      <c r="Y41" s="12" t="s">
        <v>57</v>
      </c>
      <c r="Z41" s="14">
        <v>46268.0</v>
      </c>
      <c r="AA41" s="14">
        <v>46268.0</v>
      </c>
      <c r="AB41" s="16"/>
      <c r="AC41" s="12" t="str">
        <f t="shared" si="2"/>
        <v>FA044T02</v>
      </c>
    </row>
    <row r="42" ht="18.0" customHeight="1">
      <c r="A42" s="11">
        <f t="shared" si="1"/>
        <v>39</v>
      </c>
      <c r="B42" s="12" t="s">
        <v>43</v>
      </c>
      <c r="C42" s="12" t="s">
        <v>92</v>
      </c>
      <c r="D42" s="12" t="s">
        <v>45</v>
      </c>
      <c r="E42" s="12" t="s">
        <v>47</v>
      </c>
      <c r="F42" s="12" t="s">
        <v>163</v>
      </c>
      <c r="G42" s="31" t="s">
        <v>164</v>
      </c>
      <c r="H42" s="12" t="s">
        <v>95</v>
      </c>
      <c r="I42" s="32">
        <v>46341.0</v>
      </c>
      <c r="J42" s="32">
        <v>46341.0</v>
      </c>
      <c r="K42" s="15"/>
      <c r="L42" s="15"/>
      <c r="M42" s="16"/>
      <c r="N42" s="12" t="s">
        <v>54</v>
      </c>
      <c r="O42" s="12" t="s">
        <v>76</v>
      </c>
      <c r="P42" s="12">
        <v>1.0</v>
      </c>
      <c r="Q42" s="16"/>
      <c r="R42" s="32">
        <v>46236.0</v>
      </c>
      <c r="S42" s="16"/>
      <c r="T42" s="17"/>
      <c r="U42" s="12" t="s">
        <v>54</v>
      </c>
      <c r="V42" s="18"/>
      <c r="W42" s="12" t="s">
        <v>56</v>
      </c>
      <c r="X42" s="12" t="s">
        <v>57</v>
      </c>
      <c r="Y42" s="12" t="s">
        <v>57</v>
      </c>
      <c r="Z42" s="14">
        <v>46268.0</v>
      </c>
      <c r="AA42" s="14">
        <v>46268.0</v>
      </c>
      <c r="AB42" s="16"/>
      <c r="AC42" s="12" t="str">
        <f t="shared" si="2"/>
        <v>FA045M01</v>
      </c>
    </row>
    <row r="43" ht="18.0" customHeight="1">
      <c r="A43" s="11">
        <f t="shared" si="1"/>
        <v>40</v>
      </c>
      <c r="B43" s="12" t="s">
        <v>43</v>
      </c>
      <c r="C43" s="12" t="s">
        <v>92</v>
      </c>
      <c r="D43" s="12" t="s">
        <v>45</v>
      </c>
      <c r="E43" s="12" t="s">
        <v>47</v>
      </c>
      <c r="F43" s="12" t="s">
        <v>165</v>
      </c>
      <c r="G43" s="31" t="s">
        <v>166</v>
      </c>
      <c r="H43" s="12" t="s">
        <v>95</v>
      </c>
      <c r="I43" s="32">
        <v>46344.0</v>
      </c>
      <c r="J43" s="32">
        <v>46348.0</v>
      </c>
      <c r="K43" s="15"/>
      <c r="L43" s="15"/>
      <c r="M43" s="16"/>
      <c r="N43" s="12" t="s">
        <v>54</v>
      </c>
      <c r="O43" s="12" t="s">
        <v>76</v>
      </c>
      <c r="P43" s="12">
        <v>1.0</v>
      </c>
      <c r="Q43" s="16"/>
      <c r="R43" s="32">
        <v>46236.0</v>
      </c>
      <c r="S43" s="16"/>
      <c r="T43" s="17"/>
      <c r="U43" s="12" t="s">
        <v>54</v>
      </c>
      <c r="V43" s="18"/>
      <c r="W43" s="12" t="s">
        <v>56</v>
      </c>
      <c r="X43" s="12" t="s">
        <v>57</v>
      </c>
      <c r="Y43" s="12" t="s">
        <v>57</v>
      </c>
      <c r="Z43" s="14">
        <v>46268.0</v>
      </c>
      <c r="AA43" s="14">
        <v>46268.0</v>
      </c>
      <c r="AB43" s="16"/>
      <c r="AC43" s="12" t="str">
        <f t="shared" si="2"/>
        <v>FA046M01</v>
      </c>
    </row>
    <row r="44" ht="18.0" customHeight="1">
      <c r="A44" s="11">
        <f t="shared" si="1"/>
        <v>41</v>
      </c>
      <c r="B44" s="12" t="s">
        <v>43</v>
      </c>
      <c r="C44" s="12" t="s">
        <v>92</v>
      </c>
      <c r="D44" s="12" t="s">
        <v>45</v>
      </c>
      <c r="E44" s="12" t="s">
        <v>47</v>
      </c>
      <c r="F44" s="12" t="s">
        <v>167</v>
      </c>
      <c r="G44" s="31" t="s">
        <v>168</v>
      </c>
      <c r="H44" s="12" t="s">
        <v>95</v>
      </c>
      <c r="I44" s="32">
        <v>46344.0</v>
      </c>
      <c r="J44" s="32">
        <v>46348.0</v>
      </c>
      <c r="K44" s="15"/>
      <c r="L44" s="15"/>
      <c r="M44" s="16"/>
      <c r="N44" s="12" t="s">
        <v>54</v>
      </c>
      <c r="O44" s="12" t="s">
        <v>76</v>
      </c>
      <c r="P44" s="12">
        <v>1.0</v>
      </c>
      <c r="Q44" s="16"/>
      <c r="R44" s="32">
        <v>46236.0</v>
      </c>
      <c r="S44" s="16"/>
      <c r="T44" s="17"/>
      <c r="U44" s="12" t="s">
        <v>54</v>
      </c>
      <c r="V44" s="18"/>
      <c r="W44" s="12" t="s">
        <v>56</v>
      </c>
      <c r="X44" s="12" t="s">
        <v>57</v>
      </c>
      <c r="Y44" s="12" t="s">
        <v>57</v>
      </c>
      <c r="Z44" s="14">
        <v>46268.0</v>
      </c>
      <c r="AA44" s="14">
        <v>46268.0</v>
      </c>
      <c r="AB44" s="16"/>
      <c r="AC44" s="12" t="str">
        <f t="shared" si="2"/>
        <v>FA046T01</v>
      </c>
    </row>
    <row r="45" ht="18.0" customHeight="1">
      <c r="A45" s="11">
        <f t="shared" si="1"/>
        <v>42</v>
      </c>
      <c r="B45" s="12" t="s">
        <v>43</v>
      </c>
      <c r="C45" s="12" t="s">
        <v>92</v>
      </c>
      <c r="D45" s="12" t="s">
        <v>45</v>
      </c>
      <c r="E45" s="12" t="s">
        <v>47</v>
      </c>
      <c r="F45" s="12" t="s">
        <v>169</v>
      </c>
      <c r="G45" s="31" t="s">
        <v>170</v>
      </c>
      <c r="H45" s="12" t="s">
        <v>95</v>
      </c>
      <c r="I45" s="32">
        <v>46344.0</v>
      </c>
      <c r="J45" s="32">
        <v>46348.0</v>
      </c>
      <c r="K45" s="15"/>
      <c r="L45" s="15"/>
      <c r="M45" s="16"/>
      <c r="N45" s="12" t="s">
        <v>54</v>
      </c>
      <c r="O45" s="12" t="s">
        <v>76</v>
      </c>
      <c r="P45" s="12">
        <v>1.0</v>
      </c>
      <c r="Q45" s="16"/>
      <c r="R45" s="32">
        <v>46236.0</v>
      </c>
      <c r="S45" s="16"/>
      <c r="T45" s="17"/>
      <c r="U45" s="12" t="s">
        <v>54</v>
      </c>
      <c r="V45" s="18"/>
      <c r="W45" s="12" t="s">
        <v>56</v>
      </c>
      <c r="X45" s="12" t="s">
        <v>57</v>
      </c>
      <c r="Y45" s="12" t="s">
        <v>57</v>
      </c>
      <c r="Z45" s="14">
        <v>46268.0</v>
      </c>
      <c r="AA45" s="14">
        <v>46268.0</v>
      </c>
      <c r="AB45" s="16"/>
      <c r="AC45" s="12" t="str">
        <f t="shared" si="2"/>
        <v>FA046T02</v>
      </c>
    </row>
    <row r="46" ht="18.0" customHeight="1">
      <c r="A46" s="11">
        <f t="shared" si="1"/>
        <v>43</v>
      </c>
      <c r="B46" s="12" t="s">
        <v>43</v>
      </c>
      <c r="C46" s="12" t="s">
        <v>92</v>
      </c>
      <c r="D46" s="12" t="s">
        <v>45</v>
      </c>
      <c r="E46" s="12" t="s">
        <v>47</v>
      </c>
      <c r="F46" s="12" t="s">
        <v>171</v>
      </c>
      <c r="G46" s="31" t="s">
        <v>172</v>
      </c>
      <c r="H46" s="12" t="s">
        <v>95</v>
      </c>
      <c r="I46" s="32">
        <v>46351.0</v>
      </c>
      <c r="J46" s="32">
        <v>46351.0</v>
      </c>
      <c r="K46" s="15"/>
      <c r="L46" s="15"/>
      <c r="M46" s="16"/>
      <c r="N46" s="12" t="s">
        <v>54</v>
      </c>
      <c r="O46" s="12" t="s">
        <v>85</v>
      </c>
      <c r="P46" s="12">
        <v>1.0</v>
      </c>
      <c r="Q46" s="16"/>
      <c r="R46" s="32">
        <v>46236.0</v>
      </c>
      <c r="S46" s="16"/>
      <c r="T46" s="17"/>
      <c r="U46" s="12" t="s">
        <v>54</v>
      </c>
      <c r="V46" s="18"/>
      <c r="W46" s="12" t="s">
        <v>56</v>
      </c>
      <c r="X46" s="12" t="s">
        <v>57</v>
      </c>
      <c r="Y46" s="12" t="s">
        <v>57</v>
      </c>
      <c r="Z46" s="14">
        <v>46268.0</v>
      </c>
      <c r="AA46" s="14">
        <v>46268.0</v>
      </c>
      <c r="AB46" s="16"/>
      <c r="AC46" s="12" t="str">
        <f t="shared" si="2"/>
        <v>FA047M01</v>
      </c>
    </row>
    <row r="47" ht="18.0" customHeight="1">
      <c r="A47" s="11">
        <f t="shared" si="1"/>
        <v>44</v>
      </c>
      <c r="B47" s="12" t="s">
        <v>43</v>
      </c>
      <c r="C47" s="12" t="s">
        <v>92</v>
      </c>
      <c r="D47" s="12" t="s">
        <v>45</v>
      </c>
      <c r="E47" s="12" t="s">
        <v>47</v>
      </c>
      <c r="F47" s="12" t="s">
        <v>173</v>
      </c>
      <c r="G47" s="31" t="s">
        <v>174</v>
      </c>
      <c r="H47" s="12" t="s">
        <v>95</v>
      </c>
      <c r="I47" s="32">
        <v>46352.0</v>
      </c>
      <c r="J47" s="32">
        <v>46354.0</v>
      </c>
      <c r="K47" s="15"/>
      <c r="L47" s="15"/>
      <c r="M47" s="16"/>
      <c r="N47" s="12" t="s">
        <v>54</v>
      </c>
      <c r="O47" s="12" t="s">
        <v>76</v>
      </c>
      <c r="P47" s="12">
        <v>1.0</v>
      </c>
      <c r="Q47" s="16"/>
      <c r="R47" s="32">
        <v>46236.0</v>
      </c>
      <c r="S47" s="16"/>
      <c r="T47" s="17"/>
      <c r="U47" s="12" t="s">
        <v>54</v>
      </c>
      <c r="V47" s="18"/>
      <c r="W47" s="12" t="s">
        <v>56</v>
      </c>
      <c r="X47" s="12" t="s">
        <v>57</v>
      </c>
      <c r="Y47" s="12" t="s">
        <v>57</v>
      </c>
      <c r="Z47" s="14">
        <v>46268.0</v>
      </c>
      <c r="AA47" s="14">
        <v>46268.0</v>
      </c>
      <c r="AB47" s="16"/>
      <c r="AC47" s="12" t="str">
        <f t="shared" si="2"/>
        <v>FA048M01</v>
      </c>
    </row>
    <row r="48" ht="18.0" customHeight="1">
      <c r="A48" s="11">
        <f t="shared" si="1"/>
        <v>45</v>
      </c>
      <c r="B48" s="12" t="s">
        <v>43</v>
      </c>
      <c r="C48" s="12" t="s">
        <v>92</v>
      </c>
      <c r="D48" s="12" t="s">
        <v>45</v>
      </c>
      <c r="E48" s="12" t="s">
        <v>47</v>
      </c>
      <c r="F48" s="12" t="s">
        <v>177</v>
      </c>
      <c r="G48" s="31" t="s">
        <v>178</v>
      </c>
      <c r="H48" s="12" t="s">
        <v>95</v>
      </c>
      <c r="I48" s="32">
        <v>46355.0</v>
      </c>
      <c r="J48" s="32">
        <v>46356.0</v>
      </c>
      <c r="K48" s="15"/>
      <c r="L48" s="15"/>
      <c r="M48" s="16"/>
      <c r="N48" s="12" t="s">
        <v>54</v>
      </c>
      <c r="O48" s="12" t="s">
        <v>76</v>
      </c>
      <c r="P48" s="12">
        <v>1.0</v>
      </c>
      <c r="Q48" s="16"/>
      <c r="R48" s="32">
        <v>46236.0</v>
      </c>
      <c r="S48" s="16"/>
      <c r="T48" s="17"/>
      <c r="U48" s="12" t="s">
        <v>54</v>
      </c>
      <c r="V48" s="18"/>
      <c r="W48" s="12" t="s">
        <v>56</v>
      </c>
      <c r="X48" s="12" t="s">
        <v>57</v>
      </c>
      <c r="Y48" s="12" t="s">
        <v>57</v>
      </c>
      <c r="Z48" s="14">
        <v>46268.0</v>
      </c>
      <c r="AA48" s="14">
        <v>46268.0</v>
      </c>
      <c r="AB48" s="16"/>
      <c r="AC48" s="12" t="str">
        <f t="shared" si="2"/>
        <v>FA049M01</v>
      </c>
    </row>
    <row r="49" ht="18.0" customHeight="1">
      <c r="A49" s="11">
        <f t="shared" si="1"/>
        <v>46</v>
      </c>
      <c r="B49" s="12" t="s">
        <v>43</v>
      </c>
      <c r="C49" s="12" t="s">
        <v>92</v>
      </c>
      <c r="D49" s="12" t="s">
        <v>45</v>
      </c>
      <c r="E49" s="12" t="s">
        <v>47</v>
      </c>
      <c r="F49" s="12" t="s">
        <v>179</v>
      </c>
      <c r="G49" s="31" t="s">
        <v>180</v>
      </c>
      <c r="H49" s="12" t="s">
        <v>95</v>
      </c>
      <c r="I49" s="32">
        <v>46355.0</v>
      </c>
      <c r="J49" s="32">
        <v>46356.0</v>
      </c>
      <c r="K49" s="15"/>
      <c r="L49" s="15"/>
      <c r="M49" s="16"/>
      <c r="N49" s="12" t="s">
        <v>54</v>
      </c>
      <c r="O49" s="12" t="s">
        <v>76</v>
      </c>
      <c r="P49" s="12">
        <v>1.0</v>
      </c>
      <c r="Q49" s="16"/>
      <c r="R49" s="32">
        <v>46236.0</v>
      </c>
      <c r="S49" s="16"/>
      <c r="T49" s="17"/>
      <c r="U49" s="12" t="s">
        <v>54</v>
      </c>
      <c r="V49" s="18"/>
      <c r="W49" s="12" t="s">
        <v>56</v>
      </c>
      <c r="X49" s="12" t="s">
        <v>181</v>
      </c>
      <c r="Y49" s="16"/>
      <c r="Z49" s="16"/>
      <c r="AA49" s="19"/>
      <c r="AB49" s="16"/>
      <c r="AC49" s="12" t="str">
        <f t="shared" si="2"/>
        <v>FA04AM01</v>
      </c>
    </row>
    <row r="50" ht="18.0" customHeight="1">
      <c r="A50" s="11">
        <f t="shared" si="1"/>
        <v>47</v>
      </c>
      <c r="B50" s="12" t="s">
        <v>43</v>
      </c>
      <c r="C50" s="12" t="s">
        <v>92</v>
      </c>
      <c r="D50" s="12" t="s">
        <v>45</v>
      </c>
      <c r="E50" s="12" t="s">
        <v>47</v>
      </c>
      <c r="F50" s="12" t="s">
        <v>183</v>
      </c>
      <c r="G50" s="31" t="s">
        <v>184</v>
      </c>
      <c r="H50" s="12" t="s">
        <v>53</v>
      </c>
      <c r="I50" s="32">
        <v>46310.0</v>
      </c>
      <c r="J50" s="32">
        <v>46313.0</v>
      </c>
      <c r="K50" s="15"/>
      <c r="L50" s="15"/>
      <c r="M50" s="16"/>
      <c r="N50" s="12" t="s">
        <v>54</v>
      </c>
      <c r="O50" s="12" t="s">
        <v>76</v>
      </c>
      <c r="P50" s="12">
        <v>1.0</v>
      </c>
      <c r="Q50" s="16"/>
      <c r="R50" s="32">
        <v>46236.0</v>
      </c>
      <c r="S50" s="16"/>
      <c r="T50" s="17"/>
      <c r="U50" s="12" t="s">
        <v>54</v>
      </c>
      <c r="V50" s="18"/>
      <c r="W50" s="12" t="s">
        <v>56</v>
      </c>
      <c r="X50" s="12" t="s">
        <v>57</v>
      </c>
      <c r="Y50" s="12" t="s">
        <v>57</v>
      </c>
      <c r="Z50" s="14">
        <v>46268.0</v>
      </c>
      <c r="AA50" s="14">
        <v>46268.0</v>
      </c>
      <c r="AB50" s="16"/>
      <c r="AC50" s="12" t="str">
        <f t="shared" si="2"/>
        <v>FA051M01</v>
      </c>
    </row>
    <row r="51" ht="18.0" customHeight="1">
      <c r="A51" s="11">
        <f t="shared" si="1"/>
        <v>48</v>
      </c>
      <c r="B51" s="12" t="s">
        <v>43</v>
      </c>
      <c r="C51" s="12" t="s">
        <v>92</v>
      </c>
      <c r="D51" s="12" t="s">
        <v>45</v>
      </c>
      <c r="E51" s="12" t="s">
        <v>47</v>
      </c>
      <c r="F51" s="12" t="s">
        <v>191</v>
      </c>
      <c r="G51" s="31" t="s">
        <v>192</v>
      </c>
      <c r="H51" s="12" t="s">
        <v>53</v>
      </c>
      <c r="I51" s="32">
        <v>46316.0</v>
      </c>
      <c r="J51" s="32">
        <v>46318.0</v>
      </c>
      <c r="K51" s="15"/>
      <c r="L51" s="15"/>
      <c r="M51" s="16"/>
      <c r="N51" s="12" t="s">
        <v>54</v>
      </c>
      <c r="O51" s="12" t="s">
        <v>76</v>
      </c>
      <c r="P51" s="12">
        <v>1.0</v>
      </c>
      <c r="Q51" s="16"/>
      <c r="R51" s="32">
        <v>46236.0</v>
      </c>
      <c r="S51" s="16"/>
      <c r="T51" s="17"/>
      <c r="U51" s="12" t="s">
        <v>54</v>
      </c>
      <c r="V51" s="18"/>
      <c r="W51" s="12" t="s">
        <v>56</v>
      </c>
      <c r="X51" s="12" t="s">
        <v>57</v>
      </c>
      <c r="Y51" s="12" t="s">
        <v>57</v>
      </c>
      <c r="Z51" s="14">
        <v>46268.0</v>
      </c>
      <c r="AA51" s="14">
        <v>46268.0</v>
      </c>
      <c r="AB51" s="16"/>
      <c r="AC51" s="12" t="str">
        <f t="shared" si="2"/>
        <v>FA052M01</v>
      </c>
    </row>
    <row r="52" ht="18.0" customHeight="1">
      <c r="A52" s="11">
        <f t="shared" si="1"/>
        <v>49</v>
      </c>
      <c r="B52" s="12" t="s">
        <v>43</v>
      </c>
      <c r="C52" s="12" t="s">
        <v>92</v>
      </c>
      <c r="D52" s="12" t="s">
        <v>45</v>
      </c>
      <c r="E52" s="12" t="s">
        <v>47</v>
      </c>
      <c r="F52" s="12" t="s">
        <v>194</v>
      </c>
      <c r="G52" s="31" t="s">
        <v>195</v>
      </c>
      <c r="H52" s="12" t="s">
        <v>53</v>
      </c>
      <c r="I52" s="32">
        <v>46319.0</v>
      </c>
      <c r="J52" s="32">
        <v>46323.0</v>
      </c>
      <c r="K52" s="15"/>
      <c r="L52" s="15"/>
      <c r="M52" s="16"/>
      <c r="N52" s="12" t="s">
        <v>54</v>
      </c>
      <c r="O52" s="12" t="s">
        <v>76</v>
      </c>
      <c r="P52" s="12">
        <v>1.0</v>
      </c>
      <c r="Q52" s="16"/>
      <c r="R52" s="32">
        <v>46236.0</v>
      </c>
      <c r="S52" s="16"/>
      <c r="T52" s="17"/>
      <c r="U52" s="12" t="s">
        <v>54</v>
      </c>
      <c r="V52" s="18"/>
      <c r="W52" s="12" t="s">
        <v>56</v>
      </c>
      <c r="X52" s="12" t="s">
        <v>57</v>
      </c>
      <c r="Y52" s="12" t="s">
        <v>57</v>
      </c>
      <c r="Z52" s="14">
        <v>46268.0</v>
      </c>
      <c r="AA52" s="14">
        <v>46268.0</v>
      </c>
      <c r="AB52" s="16"/>
      <c r="AC52" s="12" t="str">
        <f t="shared" si="2"/>
        <v>FA053M01</v>
      </c>
    </row>
    <row r="53" ht="18.0" customHeight="1">
      <c r="A53" s="11">
        <f t="shared" si="1"/>
        <v>50</v>
      </c>
      <c r="B53" s="12" t="s">
        <v>43</v>
      </c>
      <c r="C53" s="12" t="s">
        <v>92</v>
      </c>
      <c r="D53" s="12" t="s">
        <v>45</v>
      </c>
      <c r="E53" s="12" t="s">
        <v>47</v>
      </c>
      <c r="F53" s="12" t="s">
        <v>206</v>
      </c>
      <c r="G53" s="31" t="s">
        <v>207</v>
      </c>
      <c r="H53" s="12" t="s">
        <v>53</v>
      </c>
      <c r="I53" s="32">
        <v>46324.0</v>
      </c>
      <c r="J53" s="32">
        <v>46326.0</v>
      </c>
      <c r="K53" s="15"/>
      <c r="L53" s="15"/>
      <c r="M53" s="16"/>
      <c r="N53" s="12" t="s">
        <v>54</v>
      </c>
      <c r="O53" s="12" t="s">
        <v>76</v>
      </c>
      <c r="P53" s="12">
        <v>1.0</v>
      </c>
      <c r="Q53" s="16"/>
      <c r="R53" s="32">
        <v>46236.0</v>
      </c>
      <c r="S53" s="16"/>
      <c r="T53" s="17"/>
      <c r="U53" s="12" t="s">
        <v>54</v>
      </c>
      <c r="V53" s="18"/>
      <c r="W53" s="12" t="s">
        <v>56</v>
      </c>
      <c r="X53" s="12" t="s">
        <v>57</v>
      </c>
      <c r="Y53" s="12" t="s">
        <v>57</v>
      </c>
      <c r="Z53" s="14">
        <v>46268.0</v>
      </c>
      <c r="AA53" s="14">
        <v>46268.0</v>
      </c>
      <c r="AB53" s="16"/>
      <c r="AC53" s="12" t="str">
        <f t="shared" si="2"/>
        <v>FA053T01</v>
      </c>
    </row>
    <row r="54" ht="18.0" customHeight="1">
      <c r="A54" s="11">
        <f t="shared" si="1"/>
        <v>51</v>
      </c>
      <c r="B54" s="12" t="s">
        <v>43</v>
      </c>
      <c r="C54" s="12" t="s">
        <v>92</v>
      </c>
      <c r="D54" s="12" t="s">
        <v>45</v>
      </c>
      <c r="E54" s="12" t="s">
        <v>47</v>
      </c>
      <c r="F54" s="12" t="s">
        <v>208</v>
      </c>
      <c r="G54" s="31" t="s">
        <v>209</v>
      </c>
      <c r="H54" s="12" t="s">
        <v>53</v>
      </c>
      <c r="I54" s="32">
        <v>46327.0</v>
      </c>
      <c r="J54" s="32">
        <v>46331.0</v>
      </c>
      <c r="K54" s="15"/>
      <c r="L54" s="15"/>
      <c r="M54" s="16"/>
      <c r="N54" s="12" t="s">
        <v>54</v>
      </c>
      <c r="O54" s="12" t="s">
        <v>76</v>
      </c>
      <c r="P54" s="12">
        <v>1.0</v>
      </c>
      <c r="Q54" s="16"/>
      <c r="R54" s="32">
        <v>46236.0</v>
      </c>
      <c r="S54" s="16"/>
      <c r="T54" s="17"/>
      <c r="U54" s="12" t="s">
        <v>54</v>
      </c>
      <c r="V54" s="18"/>
      <c r="W54" s="12" t="s">
        <v>56</v>
      </c>
      <c r="X54" s="12" t="s">
        <v>57</v>
      </c>
      <c r="Y54" s="12" t="s">
        <v>57</v>
      </c>
      <c r="Z54" s="14">
        <v>46268.0</v>
      </c>
      <c r="AA54" s="14">
        <v>46268.0</v>
      </c>
      <c r="AB54" s="16"/>
      <c r="AC54" s="12" t="str">
        <f t="shared" si="2"/>
        <v>FA053T02</v>
      </c>
    </row>
    <row r="55" ht="18.0" customHeight="1">
      <c r="A55" s="11">
        <f t="shared" si="1"/>
        <v>52</v>
      </c>
      <c r="B55" s="12" t="s">
        <v>43</v>
      </c>
      <c r="C55" s="12" t="s">
        <v>92</v>
      </c>
      <c r="D55" s="12" t="s">
        <v>45</v>
      </c>
      <c r="E55" s="12" t="s">
        <v>47</v>
      </c>
      <c r="F55" s="12" t="s">
        <v>210</v>
      </c>
      <c r="G55" s="31" t="s">
        <v>211</v>
      </c>
      <c r="H55" s="12" t="s">
        <v>53</v>
      </c>
      <c r="I55" s="32">
        <v>46332.0</v>
      </c>
      <c r="J55" s="32">
        <v>46333.0</v>
      </c>
      <c r="K55" s="15"/>
      <c r="L55" s="15"/>
      <c r="M55" s="16"/>
      <c r="N55" s="12" t="s">
        <v>54</v>
      </c>
      <c r="O55" s="12" t="s">
        <v>76</v>
      </c>
      <c r="P55" s="12">
        <v>1.0</v>
      </c>
      <c r="Q55" s="16"/>
      <c r="R55" s="32">
        <v>46236.0</v>
      </c>
      <c r="S55" s="16"/>
      <c r="T55" s="17"/>
      <c r="U55" s="12" t="s">
        <v>54</v>
      </c>
      <c r="V55" s="18"/>
      <c r="W55" s="12" t="s">
        <v>56</v>
      </c>
      <c r="X55" s="12" t="s">
        <v>57</v>
      </c>
      <c r="Y55" s="12" t="s">
        <v>57</v>
      </c>
      <c r="Z55" s="14">
        <v>46268.0</v>
      </c>
      <c r="AA55" s="14">
        <v>46268.0</v>
      </c>
      <c r="AB55" s="16"/>
      <c r="AC55" s="12" t="str">
        <f t="shared" si="2"/>
        <v>FA053T03</v>
      </c>
    </row>
    <row r="56" ht="18.0" customHeight="1">
      <c r="A56" s="11">
        <f t="shared" si="1"/>
        <v>53</v>
      </c>
      <c r="B56" s="12" t="s">
        <v>43</v>
      </c>
      <c r="C56" s="12" t="s">
        <v>92</v>
      </c>
      <c r="D56" s="12" t="s">
        <v>45</v>
      </c>
      <c r="E56" s="12" t="s">
        <v>47</v>
      </c>
      <c r="F56" s="12" t="s">
        <v>212</v>
      </c>
      <c r="G56" s="31" t="s">
        <v>213</v>
      </c>
      <c r="H56" s="12" t="s">
        <v>53</v>
      </c>
      <c r="I56" s="32">
        <v>46334.0</v>
      </c>
      <c r="J56" s="32">
        <v>46337.0</v>
      </c>
      <c r="K56" s="15"/>
      <c r="L56" s="15"/>
      <c r="M56" s="16"/>
      <c r="N56" s="12" t="s">
        <v>54</v>
      </c>
      <c r="O56" s="12" t="s">
        <v>85</v>
      </c>
      <c r="P56" s="12">
        <v>1.0</v>
      </c>
      <c r="Q56" s="16"/>
      <c r="R56" s="32">
        <v>46236.0</v>
      </c>
      <c r="S56" s="16"/>
      <c r="T56" s="17"/>
      <c r="U56" s="12" t="s">
        <v>54</v>
      </c>
      <c r="V56" s="18"/>
      <c r="W56" s="12" t="s">
        <v>56</v>
      </c>
      <c r="X56" s="12" t="s">
        <v>57</v>
      </c>
      <c r="Y56" s="12" t="s">
        <v>57</v>
      </c>
      <c r="Z56" s="14">
        <v>46268.0</v>
      </c>
      <c r="AA56" s="14">
        <v>46268.0</v>
      </c>
      <c r="AB56" s="16"/>
      <c r="AC56" s="12" t="str">
        <f t="shared" si="2"/>
        <v>FA054M01</v>
      </c>
    </row>
    <row r="57" ht="18.0" customHeight="1">
      <c r="A57" s="11">
        <f t="shared" si="1"/>
        <v>54</v>
      </c>
      <c r="B57" s="12" t="s">
        <v>43</v>
      </c>
      <c r="C57" s="12" t="s">
        <v>92</v>
      </c>
      <c r="D57" s="12" t="s">
        <v>45</v>
      </c>
      <c r="E57" s="12" t="s">
        <v>47</v>
      </c>
      <c r="F57" s="12" t="s">
        <v>214</v>
      </c>
      <c r="G57" s="31" t="s">
        <v>215</v>
      </c>
      <c r="H57" s="12" t="s">
        <v>53</v>
      </c>
      <c r="I57" s="32">
        <v>46338.0</v>
      </c>
      <c r="J57" s="32">
        <v>46339.0</v>
      </c>
      <c r="K57" s="15"/>
      <c r="L57" s="15"/>
      <c r="M57" s="16"/>
      <c r="N57" s="12" t="s">
        <v>54</v>
      </c>
      <c r="O57" s="12" t="s">
        <v>85</v>
      </c>
      <c r="P57" s="12">
        <v>1.0</v>
      </c>
      <c r="Q57" s="16"/>
      <c r="R57" s="32">
        <v>46236.0</v>
      </c>
      <c r="S57" s="16"/>
      <c r="T57" s="17"/>
      <c r="U57" s="12" t="s">
        <v>54</v>
      </c>
      <c r="V57" s="18"/>
      <c r="W57" s="12" t="s">
        <v>56</v>
      </c>
      <c r="X57" s="12" t="s">
        <v>57</v>
      </c>
      <c r="Y57" s="12" t="s">
        <v>57</v>
      </c>
      <c r="Z57" s="14">
        <v>46268.0</v>
      </c>
      <c r="AA57" s="14">
        <v>46268.0</v>
      </c>
      <c r="AB57" s="16"/>
      <c r="AC57" s="12" t="str">
        <f t="shared" si="2"/>
        <v>FA055M01</v>
      </c>
    </row>
    <row r="58" ht="18.0" customHeight="1">
      <c r="A58" s="11">
        <f t="shared" si="1"/>
        <v>55</v>
      </c>
      <c r="B58" s="12" t="s">
        <v>43</v>
      </c>
      <c r="C58" s="12" t="s">
        <v>92</v>
      </c>
      <c r="D58" s="12" t="s">
        <v>45</v>
      </c>
      <c r="E58" s="12" t="s">
        <v>47</v>
      </c>
      <c r="F58" s="12" t="s">
        <v>216</v>
      </c>
      <c r="G58" s="31" t="s">
        <v>217</v>
      </c>
      <c r="H58" s="12" t="s">
        <v>123</v>
      </c>
      <c r="I58" s="32">
        <v>46344.0</v>
      </c>
      <c r="J58" s="32">
        <v>46348.0</v>
      </c>
      <c r="K58" s="15"/>
      <c r="L58" s="15"/>
      <c r="M58" s="16"/>
      <c r="N58" s="12" t="s">
        <v>54</v>
      </c>
      <c r="O58" s="12" t="s">
        <v>76</v>
      </c>
      <c r="P58" s="12">
        <v>1.0</v>
      </c>
      <c r="Q58" s="16"/>
      <c r="R58" s="32">
        <v>46236.0</v>
      </c>
      <c r="S58" s="16"/>
      <c r="T58" s="17"/>
      <c r="U58" s="12" t="s">
        <v>54</v>
      </c>
      <c r="V58" s="18"/>
      <c r="W58" s="12" t="s">
        <v>56</v>
      </c>
      <c r="X58" s="12" t="s">
        <v>57</v>
      </c>
      <c r="Y58" s="12" t="s">
        <v>57</v>
      </c>
      <c r="Z58" s="14">
        <v>46268.0</v>
      </c>
      <c r="AA58" s="14">
        <v>46268.0</v>
      </c>
      <c r="AB58" s="16"/>
      <c r="AC58" s="12" t="str">
        <f t="shared" si="2"/>
        <v>FA061M01</v>
      </c>
    </row>
    <row r="59" ht="18.0" customHeight="1">
      <c r="A59" s="11">
        <f t="shared" si="1"/>
        <v>56</v>
      </c>
      <c r="B59" s="12" t="s">
        <v>43</v>
      </c>
      <c r="C59" s="12" t="s">
        <v>92</v>
      </c>
      <c r="D59" s="12" t="s">
        <v>45</v>
      </c>
      <c r="E59" s="12" t="s">
        <v>47</v>
      </c>
      <c r="F59" s="12" t="s">
        <v>218</v>
      </c>
      <c r="G59" s="31" t="s">
        <v>219</v>
      </c>
      <c r="H59" s="12" t="s">
        <v>123</v>
      </c>
      <c r="I59" s="32">
        <v>46351.0</v>
      </c>
      <c r="J59" s="32">
        <v>46355.0</v>
      </c>
      <c r="K59" s="15"/>
      <c r="L59" s="15"/>
      <c r="M59" s="16"/>
      <c r="N59" s="12" t="s">
        <v>54</v>
      </c>
      <c r="O59" s="12" t="s">
        <v>76</v>
      </c>
      <c r="P59" s="12">
        <v>1.0</v>
      </c>
      <c r="Q59" s="16"/>
      <c r="R59" s="32">
        <v>46236.0</v>
      </c>
      <c r="S59" s="16"/>
      <c r="T59" s="17"/>
      <c r="U59" s="12" t="s">
        <v>54</v>
      </c>
      <c r="V59" s="18"/>
      <c r="W59" s="12" t="s">
        <v>56</v>
      </c>
      <c r="X59" s="12" t="s">
        <v>57</v>
      </c>
      <c r="Y59" s="12" t="s">
        <v>57</v>
      </c>
      <c r="Z59" s="14">
        <v>46268.0</v>
      </c>
      <c r="AA59" s="14">
        <v>46268.0</v>
      </c>
      <c r="AB59" s="16"/>
      <c r="AC59" s="12" t="str">
        <f t="shared" si="2"/>
        <v>FA062M01</v>
      </c>
    </row>
    <row r="60" ht="18.0" customHeight="1">
      <c r="A60" s="11">
        <f t="shared" si="1"/>
        <v>57</v>
      </c>
      <c r="B60" s="12" t="s">
        <v>43</v>
      </c>
      <c r="C60" s="12" t="s">
        <v>92</v>
      </c>
      <c r="D60" s="12" t="s">
        <v>45</v>
      </c>
      <c r="E60" s="12" t="s">
        <v>47</v>
      </c>
      <c r="F60" s="12" t="s">
        <v>220</v>
      </c>
      <c r="G60" s="31" t="s">
        <v>221</v>
      </c>
      <c r="H60" s="12" t="s">
        <v>123</v>
      </c>
      <c r="I60" s="32">
        <v>46295.0</v>
      </c>
      <c r="J60" s="32">
        <v>46295.0</v>
      </c>
      <c r="K60" s="15"/>
      <c r="L60" s="15"/>
      <c r="M60" s="16"/>
      <c r="N60" s="12" t="s">
        <v>82</v>
      </c>
      <c r="O60" s="12" t="s">
        <v>85</v>
      </c>
      <c r="P60" s="12">
        <v>1.0</v>
      </c>
      <c r="Q60" s="16"/>
      <c r="R60" s="32">
        <v>46236.0</v>
      </c>
      <c r="S60" s="16"/>
      <c r="T60" s="31" t="s">
        <v>222</v>
      </c>
      <c r="U60" s="12" t="s">
        <v>54</v>
      </c>
      <c r="V60" s="18"/>
      <c r="W60" s="12" t="s">
        <v>56</v>
      </c>
      <c r="X60" s="12" t="s">
        <v>57</v>
      </c>
      <c r="Y60" s="12" t="s">
        <v>57</v>
      </c>
      <c r="Z60" s="14">
        <v>46268.0</v>
      </c>
      <c r="AA60" s="19"/>
      <c r="AB60" s="16"/>
      <c r="AC60" s="12" t="str">
        <f t="shared" si="2"/>
        <v>FA081P01</v>
      </c>
    </row>
    <row r="61" ht="18.0" customHeight="1">
      <c r="A61" s="11">
        <f t="shared" si="1"/>
        <v>58</v>
      </c>
      <c r="B61" s="12" t="s">
        <v>43</v>
      </c>
      <c r="C61" s="12" t="s">
        <v>92</v>
      </c>
      <c r="D61" s="12" t="s">
        <v>45</v>
      </c>
      <c r="E61" s="12" t="s">
        <v>47</v>
      </c>
      <c r="F61" s="12" t="s">
        <v>223</v>
      </c>
      <c r="G61" s="31" t="s">
        <v>224</v>
      </c>
      <c r="H61" s="12" t="s">
        <v>123</v>
      </c>
      <c r="I61" s="32">
        <v>46296.0</v>
      </c>
      <c r="J61" s="32">
        <v>46296.0</v>
      </c>
      <c r="K61" s="15"/>
      <c r="L61" s="15"/>
      <c r="M61" s="16"/>
      <c r="N61" s="12" t="s">
        <v>82</v>
      </c>
      <c r="O61" s="12" t="s">
        <v>85</v>
      </c>
      <c r="P61" s="12">
        <v>1.0</v>
      </c>
      <c r="Q61" s="16"/>
      <c r="R61" s="32">
        <v>46236.0</v>
      </c>
      <c r="S61" s="16"/>
      <c r="T61" s="31" t="s">
        <v>222</v>
      </c>
      <c r="U61" s="12" t="s">
        <v>54</v>
      </c>
      <c r="V61" s="18"/>
      <c r="W61" s="12" t="s">
        <v>56</v>
      </c>
      <c r="X61" s="12" t="s">
        <v>57</v>
      </c>
      <c r="Y61" s="12" t="s">
        <v>57</v>
      </c>
      <c r="Z61" s="14">
        <v>46268.0</v>
      </c>
      <c r="AA61" s="19"/>
      <c r="AB61" s="16"/>
      <c r="AC61" s="12" t="str">
        <f t="shared" si="2"/>
        <v>FA082P01</v>
      </c>
    </row>
    <row r="62" ht="18.0" customHeight="1">
      <c r="A62" s="11">
        <f t="shared" si="1"/>
        <v>59</v>
      </c>
      <c r="B62" s="12" t="s">
        <v>43</v>
      </c>
      <c r="C62" s="12" t="s">
        <v>92</v>
      </c>
      <c r="D62" s="12" t="s">
        <v>45</v>
      </c>
      <c r="E62" s="12" t="s">
        <v>47</v>
      </c>
      <c r="F62" s="12" t="s">
        <v>225</v>
      </c>
      <c r="G62" s="31" t="s">
        <v>226</v>
      </c>
      <c r="H62" s="12" t="s">
        <v>123</v>
      </c>
      <c r="I62" s="32">
        <v>46297.0</v>
      </c>
      <c r="J62" s="32">
        <v>46297.0</v>
      </c>
      <c r="K62" s="15"/>
      <c r="L62" s="15"/>
      <c r="M62" s="16"/>
      <c r="N62" s="12" t="s">
        <v>82</v>
      </c>
      <c r="O62" s="12" t="s">
        <v>85</v>
      </c>
      <c r="P62" s="12">
        <v>1.0</v>
      </c>
      <c r="Q62" s="16"/>
      <c r="R62" s="32">
        <v>46236.0</v>
      </c>
      <c r="S62" s="16"/>
      <c r="T62" s="31" t="s">
        <v>222</v>
      </c>
      <c r="U62" s="12" t="s">
        <v>54</v>
      </c>
      <c r="V62" s="18"/>
      <c r="W62" s="12" t="s">
        <v>56</v>
      </c>
      <c r="X62" s="12" t="s">
        <v>57</v>
      </c>
      <c r="Y62" s="12" t="s">
        <v>57</v>
      </c>
      <c r="Z62" s="14">
        <v>46268.0</v>
      </c>
      <c r="AA62" s="19"/>
      <c r="AB62" s="16"/>
      <c r="AC62" s="12" t="str">
        <f t="shared" si="2"/>
        <v>FA083P01</v>
      </c>
    </row>
    <row r="63" ht="18.0" customHeight="1">
      <c r="A63" s="11">
        <f t="shared" si="1"/>
        <v>60</v>
      </c>
      <c r="B63" s="12" t="s">
        <v>43</v>
      </c>
      <c r="C63" s="12" t="s">
        <v>92</v>
      </c>
      <c r="D63" s="12" t="s">
        <v>45</v>
      </c>
      <c r="E63" s="12" t="s">
        <v>47</v>
      </c>
      <c r="F63" s="12" t="s">
        <v>227</v>
      </c>
      <c r="G63" s="31" t="s">
        <v>228</v>
      </c>
      <c r="H63" s="12" t="s">
        <v>95</v>
      </c>
      <c r="I63" s="32">
        <v>46299.0</v>
      </c>
      <c r="J63" s="32">
        <v>46302.0</v>
      </c>
      <c r="K63" s="15"/>
      <c r="L63" s="15"/>
      <c r="M63" s="16"/>
      <c r="N63" s="12" t="s">
        <v>82</v>
      </c>
      <c r="O63" s="12" t="s">
        <v>85</v>
      </c>
      <c r="P63" s="12">
        <v>1.0</v>
      </c>
      <c r="Q63" s="16"/>
      <c r="R63" s="32">
        <v>46236.0</v>
      </c>
      <c r="S63" s="16"/>
      <c r="T63" s="17"/>
      <c r="U63" s="12" t="s">
        <v>54</v>
      </c>
      <c r="V63" s="18"/>
      <c r="W63" s="12" t="s">
        <v>56</v>
      </c>
      <c r="X63" s="12" t="s">
        <v>57</v>
      </c>
      <c r="Y63" s="12" t="s">
        <v>57</v>
      </c>
      <c r="Z63" s="14">
        <v>46268.0</v>
      </c>
      <c r="AA63" s="19"/>
      <c r="AB63" s="16"/>
      <c r="AC63" s="12" t="str">
        <f t="shared" si="2"/>
        <v>FA084P01</v>
      </c>
    </row>
    <row r="64" ht="18.0" customHeight="1">
      <c r="A64" s="11">
        <f t="shared" si="1"/>
        <v>61</v>
      </c>
      <c r="B64" s="12" t="s">
        <v>43</v>
      </c>
      <c r="C64" s="12" t="s">
        <v>92</v>
      </c>
      <c r="D64" s="12" t="s">
        <v>45</v>
      </c>
      <c r="E64" s="12" t="s">
        <v>47</v>
      </c>
      <c r="F64" s="12" t="s">
        <v>229</v>
      </c>
      <c r="G64" s="31" t="s">
        <v>230</v>
      </c>
      <c r="H64" s="12" t="s">
        <v>95</v>
      </c>
      <c r="I64" s="32">
        <v>46302.0</v>
      </c>
      <c r="J64" s="32">
        <v>46303.0</v>
      </c>
      <c r="K64" s="15"/>
      <c r="L64" s="15"/>
      <c r="M64" s="16"/>
      <c r="N64" s="12" t="s">
        <v>82</v>
      </c>
      <c r="O64" s="12" t="s">
        <v>85</v>
      </c>
      <c r="P64" s="12">
        <v>1.0</v>
      </c>
      <c r="Q64" s="16"/>
      <c r="R64" s="32">
        <v>46236.0</v>
      </c>
      <c r="S64" s="16"/>
      <c r="T64" s="17"/>
      <c r="U64" s="12" t="s">
        <v>54</v>
      </c>
      <c r="V64" s="18"/>
      <c r="W64" s="12" t="s">
        <v>56</v>
      </c>
      <c r="X64" s="12" t="s">
        <v>57</v>
      </c>
      <c r="Y64" s="12" t="s">
        <v>57</v>
      </c>
      <c r="Z64" s="14">
        <v>46268.0</v>
      </c>
      <c r="AA64" s="19"/>
      <c r="AB64" s="16"/>
      <c r="AC64" s="12" t="str">
        <f t="shared" si="2"/>
        <v>FA085P01</v>
      </c>
    </row>
    <row r="65" ht="18.0" customHeight="1">
      <c r="A65" s="11">
        <f t="shared" si="1"/>
        <v>62</v>
      </c>
      <c r="B65" s="12" t="s">
        <v>43</v>
      </c>
      <c r="C65" s="12" t="s">
        <v>231</v>
      </c>
      <c r="D65" s="12" t="s">
        <v>45</v>
      </c>
      <c r="E65" s="12" t="s">
        <v>47</v>
      </c>
      <c r="F65" s="12" t="s">
        <v>232</v>
      </c>
      <c r="G65" s="13" t="s">
        <v>52</v>
      </c>
      <c r="H65" s="12" t="s">
        <v>53</v>
      </c>
      <c r="I65" s="14">
        <v>46283.0</v>
      </c>
      <c r="J65" s="14">
        <v>46288.0</v>
      </c>
      <c r="K65" s="15"/>
      <c r="L65" s="15"/>
      <c r="M65" s="16"/>
      <c r="N65" s="12" t="s">
        <v>54</v>
      </c>
      <c r="O65" s="12" t="s">
        <v>55</v>
      </c>
      <c r="P65" s="12">
        <v>1.0</v>
      </c>
      <c r="Q65" s="16"/>
      <c r="R65" s="14">
        <v>46246.0</v>
      </c>
      <c r="S65" s="16"/>
      <c r="T65" s="17"/>
      <c r="U65" s="12" t="s">
        <v>54</v>
      </c>
      <c r="V65" s="18"/>
      <c r="W65" s="12" t="s">
        <v>56</v>
      </c>
      <c r="X65" s="12" t="s">
        <v>57</v>
      </c>
      <c r="Y65" s="16"/>
      <c r="Z65" s="14">
        <v>46268.0</v>
      </c>
      <c r="AA65" s="19"/>
      <c r="AB65" s="16"/>
      <c r="AC65" s="12" t="str">
        <f t="shared" si="2"/>
        <v>EA011M01</v>
      </c>
    </row>
    <row r="66" ht="18.0" customHeight="1">
      <c r="A66" s="11">
        <f t="shared" si="1"/>
        <v>63</v>
      </c>
      <c r="B66" s="12" t="s">
        <v>43</v>
      </c>
      <c r="C66" s="12" t="s">
        <v>231</v>
      </c>
      <c r="D66" s="12" t="s">
        <v>45</v>
      </c>
      <c r="E66" s="12" t="s">
        <v>47</v>
      </c>
      <c r="F66" s="12" t="s">
        <v>233</v>
      </c>
      <c r="G66" s="13" t="s">
        <v>64</v>
      </c>
      <c r="H66" s="12" t="s">
        <v>66</v>
      </c>
      <c r="I66" s="14">
        <v>46295.0</v>
      </c>
      <c r="J66" s="14">
        <v>46305.0</v>
      </c>
      <c r="K66" s="15"/>
      <c r="L66" s="15"/>
      <c r="M66" s="16"/>
      <c r="N66" s="12" t="s">
        <v>54</v>
      </c>
      <c r="O66" s="12" t="s">
        <v>55</v>
      </c>
      <c r="P66" s="12">
        <v>1.0</v>
      </c>
      <c r="Q66" s="16"/>
      <c r="R66" s="14">
        <v>46246.0</v>
      </c>
      <c r="S66" s="16"/>
      <c r="T66" s="17"/>
      <c r="U66" s="12" t="s">
        <v>54</v>
      </c>
      <c r="V66" s="18"/>
      <c r="W66" s="12" t="s">
        <v>56</v>
      </c>
      <c r="X66" s="12" t="s">
        <v>57</v>
      </c>
      <c r="Y66" s="16"/>
      <c r="Z66" s="14">
        <v>46268.0</v>
      </c>
      <c r="AA66" s="19"/>
      <c r="AB66" s="16"/>
      <c r="AC66" s="12" t="str">
        <f t="shared" si="2"/>
        <v>EA012M01</v>
      </c>
    </row>
    <row r="67" ht="18.0" customHeight="1">
      <c r="A67" s="11">
        <f t="shared" si="1"/>
        <v>64</v>
      </c>
      <c r="B67" s="12" t="s">
        <v>43</v>
      </c>
      <c r="C67" s="12" t="s">
        <v>231</v>
      </c>
      <c r="D67" s="12" t="s">
        <v>45</v>
      </c>
      <c r="E67" s="12" t="s">
        <v>47</v>
      </c>
      <c r="F67" s="12" t="s">
        <v>234</v>
      </c>
      <c r="G67" s="13" t="s">
        <v>72</v>
      </c>
      <c r="H67" s="12" t="s">
        <v>53</v>
      </c>
      <c r="I67" s="14">
        <v>46346.0</v>
      </c>
      <c r="J67" s="14">
        <v>46347.0</v>
      </c>
      <c r="K67" s="15"/>
      <c r="L67" s="15"/>
      <c r="M67" s="16"/>
      <c r="N67" s="12" t="s">
        <v>54</v>
      </c>
      <c r="O67" s="12" t="s">
        <v>55</v>
      </c>
      <c r="P67" s="12">
        <v>1.0</v>
      </c>
      <c r="Q67" s="16"/>
      <c r="R67" s="14">
        <v>46246.0</v>
      </c>
      <c r="S67" s="16"/>
      <c r="T67" s="17"/>
      <c r="U67" s="12" t="s">
        <v>54</v>
      </c>
      <c r="V67" s="18"/>
      <c r="W67" s="12" t="s">
        <v>56</v>
      </c>
      <c r="X67" s="12" t="s">
        <v>57</v>
      </c>
      <c r="Y67" s="16"/>
      <c r="Z67" s="14">
        <v>46268.0</v>
      </c>
      <c r="AA67" s="19"/>
      <c r="AB67" s="16"/>
      <c r="AC67" s="12" t="str">
        <f t="shared" si="2"/>
        <v>EA013M01</v>
      </c>
    </row>
    <row r="68" ht="18.0" customHeight="1">
      <c r="A68" s="11">
        <f t="shared" si="1"/>
        <v>65</v>
      </c>
      <c r="B68" s="12" t="s">
        <v>43</v>
      </c>
      <c r="C68" s="12" t="s">
        <v>231</v>
      </c>
      <c r="D68" s="12" t="s">
        <v>45</v>
      </c>
      <c r="E68" s="12" t="s">
        <v>47</v>
      </c>
      <c r="F68" s="12" t="s">
        <v>235</v>
      </c>
      <c r="G68" s="13" t="s">
        <v>75</v>
      </c>
      <c r="H68" s="12" t="s">
        <v>66</v>
      </c>
      <c r="I68" s="14">
        <v>46267.0</v>
      </c>
      <c r="J68" s="14">
        <v>46282.0</v>
      </c>
      <c r="K68" s="15"/>
      <c r="L68" s="15"/>
      <c r="M68" s="16"/>
      <c r="N68" s="12" t="s">
        <v>54</v>
      </c>
      <c r="O68" s="12" t="s">
        <v>76</v>
      </c>
      <c r="P68" s="12">
        <v>1.0</v>
      </c>
      <c r="Q68" s="16"/>
      <c r="R68" s="14">
        <v>46246.0</v>
      </c>
      <c r="S68" s="16"/>
      <c r="T68" s="17"/>
      <c r="U68" s="12" t="s">
        <v>54</v>
      </c>
      <c r="V68" s="18"/>
      <c r="W68" s="12" t="s">
        <v>56</v>
      </c>
      <c r="X68" s="12" t="s">
        <v>57</v>
      </c>
      <c r="Y68" s="16"/>
      <c r="Z68" s="14">
        <v>46268.0</v>
      </c>
      <c r="AA68" s="19"/>
      <c r="AB68" s="16"/>
      <c r="AC68" s="12" t="str">
        <f t="shared" si="2"/>
        <v>EA014M01</v>
      </c>
    </row>
    <row r="69" ht="18.0" customHeight="1">
      <c r="A69" s="11">
        <f t="shared" si="1"/>
        <v>66</v>
      </c>
      <c r="B69" s="12" t="s">
        <v>43</v>
      </c>
      <c r="C69" s="12" t="s">
        <v>231</v>
      </c>
      <c r="D69" s="12" t="s">
        <v>45</v>
      </c>
      <c r="E69" s="12" t="s">
        <v>47</v>
      </c>
      <c r="F69" s="12" t="s">
        <v>236</v>
      </c>
      <c r="G69" s="13" t="s">
        <v>237</v>
      </c>
      <c r="H69" s="12" t="s">
        <v>66</v>
      </c>
      <c r="I69" s="14">
        <v>46337.0</v>
      </c>
      <c r="J69" s="14">
        <v>46340.0</v>
      </c>
      <c r="K69" s="15"/>
      <c r="L69" s="15"/>
      <c r="M69" s="16"/>
      <c r="N69" s="12" t="s">
        <v>54</v>
      </c>
      <c r="O69" s="12" t="s">
        <v>76</v>
      </c>
      <c r="P69" s="12">
        <v>1.0</v>
      </c>
      <c r="Q69" s="16"/>
      <c r="R69" s="14">
        <v>46246.0</v>
      </c>
      <c r="S69" s="16"/>
      <c r="T69" s="17"/>
      <c r="U69" s="12" t="s">
        <v>54</v>
      </c>
      <c r="V69" s="18"/>
      <c r="W69" s="12" t="s">
        <v>56</v>
      </c>
      <c r="X69" s="12" t="s">
        <v>57</v>
      </c>
      <c r="Y69" s="16"/>
      <c r="Z69" s="14">
        <v>46268.0</v>
      </c>
      <c r="AA69" s="19"/>
      <c r="AB69" s="16"/>
      <c r="AC69" s="12" t="str">
        <f t="shared" si="2"/>
        <v>EA015M01</v>
      </c>
    </row>
    <row r="70" ht="18.0" customHeight="1">
      <c r="A70" s="11">
        <f t="shared" si="1"/>
        <v>67</v>
      </c>
      <c r="B70" s="12" t="s">
        <v>43</v>
      </c>
      <c r="C70" s="12" t="s">
        <v>231</v>
      </c>
      <c r="D70" s="12" t="s">
        <v>45</v>
      </c>
      <c r="E70" s="12" t="s">
        <v>79</v>
      </c>
      <c r="F70" s="12" t="s">
        <v>238</v>
      </c>
      <c r="G70" s="13" t="s">
        <v>239</v>
      </c>
      <c r="H70" s="12" t="s">
        <v>66</v>
      </c>
      <c r="I70" s="14">
        <v>46339.0</v>
      </c>
      <c r="J70" s="14">
        <v>46340.0</v>
      </c>
      <c r="K70" s="15"/>
      <c r="L70" s="15"/>
      <c r="M70" s="16"/>
      <c r="N70" s="12" t="s">
        <v>82</v>
      </c>
      <c r="O70" s="12" t="s">
        <v>76</v>
      </c>
      <c r="P70" s="12">
        <v>1.0</v>
      </c>
      <c r="Q70" s="16"/>
      <c r="R70" s="14">
        <v>46246.0</v>
      </c>
      <c r="S70" s="16"/>
      <c r="T70" s="17"/>
      <c r="U70" s="12" t="s">
        <v>54</v>
      </c>
      <c r="V70" s="18"/>
      <c r="W70" s="12" t="s">
        <v>56</v>
      </c>
      <c r="X70" s="12" t="s">
        <v>57</v>
      </c>
      <c r="Y70" s="16"/>
      <c r="Z70" s="14">
        <v>46268.0</v>
      </c>
      <c r="AA70" s="19"/>
      <c r="AB70" s="16"/>
      <c r="AC70" s="12" t="str">
        <f t="shared" si="2"/>
        <v>EA015P01</v>
      </c>
    </row>
    <row r="71" ht="18.0" customHeight="1">
      <c r="A71" s="11">
        <f t="shared" si="1"/>
        <v>68</v>
      </c>
      <c r="B71" s="12" t="s">
        <v>43</v>
      </c>
      <c r="C71" s="12" t="s">
        <v>231</v>
      </c>
      <c r="D71" s="12" t="s">
        <v>45</v>
      </c>
      <c r="E71" s="12" t="s">
        <v>47</v>
      </c>
      <c r="F71" s="12" t="s">
        <v>240</v>
      </c>
      <c r="G71" s="13" t="s">
        <v>241</v>
      </c>
      <c r="H71" s="12" t="s">
        <v>66</v>
      </c>
      <c r="I71" s="14">
        <v>46340.0</v>
      </c>
      <c r="J71" s="14">
        <v>46344.0</v>
      </c>
      <c r="K71" s="15"/>
      <c r="L71" s="15"/>
      <c r="M71" s="16"/>
      <c r="N71" s="12" t="s">
        <v>54</v>
      </c>
      <c r="O71" s="12" t="s">
        <v>85</v>
      </c>
      <c r="P71" s="12">
        <v>1.0</v>
      </c>
      <c r="Q71" s="16"/>
      <c r="R71" s="14">
        <v>46246.0</v>
      </c>
      <c r="S71" s="16"/>
      <c r="T71" s="17"/>
      <c r="U71" s="12" t="s">
        <v>54</v>
      </c>
      <c r="V71" s="18"/>
      <c r="W71" s="12" t="s">
        <v>56</v>
      </c>
      <c r="X71" s="12" t="s">
        <v>57</v>
      </c>
      <c r="Y71" s="16"/>
      <c r="Z71" s="14">
        <v>46268.0</v>
      </c>
      <c r="AA71" s="19"/>
      <c r="AB71" s="16"/>
      <c r="AC71" s="12" t="str">
        <f t="shared" si="2"/>
        <v>EA016M01</v>
      </c>
    </row>
    <row r="72" ht="18.0" customHeight="1">
      <c r="A72" s="11">
        <f t="shared" si="1"/>
        <v>69</v>
      </c>
      <c r="B72" s="12" t="s">
        <v>43</v>
      </c>
      <c r="C72" s="12" t="s">
        <v>231</v>
      </c>
      <c r="D72" s="12" t="s">
        <v>45</v>
      </c>
      <c r="E72" s="12" t="s">
        <v>79</v>
      </c>
      <c r="F72" s="12" t="s">
        <v>242</v>
      </c>
      <c r="G72" s="13" t="s">
        <v>243</v>
      </c>
      <c r="H72" s="12" t="s">
        <v>66</v>
      </c>
      <c r="I72" s="14">
        <v>46344.0</v>
      </c>
      <c r="J72" s="14">
        <v>46344.0</v>
      </c>
      <c r="K72" s="15"/>
      <c r="L72" s="15"/>
      <c r="M72" s="16"/>
      <c r="N72" s="12" t="s">
        <v>82</v>
      </c>
      <c r="O72" s="12" t="s">
        <v>76</v>
      </c>
      <c r="P72" s="12">
        <v>1.0</v>
      </c>
      <c r="Q72" s="16"/>
      <c r="R72" s="14">
        <v>46246.0</v>
      </c>
      <c r="S72" s="16"/>
      <c r="T72" s="17"/>
      <c r="U72" s="12" t="s">
        <v>54</v>
      </c>
      <c r="V72" s="18"/>
      <c r="W72" s="12" t="s">
        <v>56</v>
      </c>
      <c r="X72" s="12" t="s">
        <v>57</v>
      </c>
      <c r="Y72" s="16"/>
      <c r="Z72" s="14">
        <v>46268.0</v>
      </c>
      <c r="AA72" s="19"/>
      <c r="AB72" s="16"/>
      <c r="AC72" s="12" t="str">
        <f t="shared" si="2"/>
        <v>EA016P01</v>
      </c>
    </row>
    <row r="73" ht="18.0" customHeight="1">
      <c r="A73" s="11">
        <f t="shared" si="1"/>
        <v>70</v>
      </c>
      <c r="B73" s="12" t="s">
        <v>43</v>
      </c>
      <c r="C73" s="12" t="s">
        <v>231</v>
      </c>
      <c r="D73" s="12" t="s">
        <v>45</v>
      </c>
      <c r="E73" s="12" t="s">
        <v>47</v>
      </c>
      <c r="F73" s="12" t="s">
        <v>244</v>
      </c>
      <c r="G73" s="13" t="s">
        <v>89</v>
      </c>
      <c r="H73" s="12" t="s">
        <v>66</v>
      </c>
      <c r="I73" s="14">
        <v>46316.0</v>
      </c>
      <c r="J73" s="14">
        <v>46324.0</v>
      </c>
      <c r="K73" s="15"/>
      <c r="L73" s="15"/>
      <c r="M73" s="16"/>
      <c r="N73" s="12" t="s">
        <v>54</v>
      </c>
      <c r="O73" s="12" t="s">
        <v>55</v>
      </c>
      <c r="P73" s="12">
        <v>1.0</v>
      </c>
      <c r="Q73" s="16"/>
      <c r="R73" s="14">
        <v>46246.0</v>
      </c>
      <c r="S73" s="16"/>
      <c r="T73" s="17"/>
      <c r="U73" s="12" t="s">
        <v>54</v>
      </c>
      <c r="V73" s="18"/>
      <c r="W73" s="12" t="s">
        <v>56</v>
      </c>
      <c r="X73" s="12" t="s">
        <v>57</v>
      </c>
      <c r="Y73" s="16"/>
      <c r="Z73" s="14">
        <v>46268.0</v>
      </c>
      <c r="AA73" s="19"/>
      <c r="AB73" s="16"/>
      <c r="AC73" s="12" t="str">
        <f t="shared" si="2"/>
        <v>EA017M01</v>
      </c>
    </row>
    <row r="74" ht="18.0" customHeight="1">
      <c r="A74" s="11">
        <f t="shared" si="1"/>
        <v>71</v>
      </c>
      <c r="B74" s="12" t="s">
        <v>245</v>
      </c>
      <c r="C74" s="11" t="s">
        <v>246</v>
      </c>
      <c r="D74" s="12" t="s">
        <v>45</v>
      </c>
      <c r="E74" s="12" t="s">
        <v>47</v>
      </c>
      <c r="F74" s="12" t="s">
        <v>247</v>
      </c>
      <c r="G74" s="13" t="s">
        <v>248</v>
      </c>
      <c r="H74" s="12" t="s">
        <v>249</v>
      </c>
      <c r="I74" s="52">
        <v>46338.0</v>
      </c>
      <c r="J74" s="52">
        <v>46341.0</v>
      </c>
      <c r="K74" s="53"/>
      <c r="L74" s="53"/>
      <c r="M74" s="12" t="s">
        <v>250</v>
      </c>
      <c r="N74" s="11" t="s">
        <v>54</v>
      </c>
      <c r="O74" s="11" t="s">
        <v>55</v>
      </c>
      <c r="P74" s="11" t="s">
        <v>251</v>
      </c>
      <c r="Q74" s="54"/>
      <c r="R74" s="32">
        <v>46264.0</v>
      </c>
      <c r="S74" s="54"/>
      <c r="T74" s="55"/>
      <c r="U74" s="11" t="s">
        <v>54</v>
      </c>
      <c r="V74" s="56"/>
      <c r="W74" s="12" t="s">
        <v>56</v>
      </c>
      <c r="X74" s="11" t="s">
        <v>82</v>
      </c>
      <c r="Y74" s="11" t="s">
        <v>82</v>
      </c>
      <c r="Z74" s="14">
        <v>46268.0</v>
      </c>
      <c r="AA74" s="14">
        <v>46268.0</v>
      </c>
      <c r="AB74" s="54"/>
      <c r="AC74" s="12" t="str">
        <f t="shared" si="2"/>
        <v>RA011M01</v>
      </c>
    </row>
    <row r="75" ht="18.0" customHeight="1">
      <c r="A75" s="11">
        <f t="shared" si="1"/>
        <v>72</v>
      </c>
      <c r="B75" s="12" t="s">
        <v>245</v>
      </c>
      <c r="C75" s="11" t="s">
        <v>246</v>
      </c>
      <c r="D75" s="12" t="s">
        <v>45</v>
      </c>
      <c r="E75" s="12" t="s">
        <v>47</v>
      </c>
      <c r="F75" s="12" t="s">
        <v>252</v>
      </c>
      <c r="G75" s="13" t="s">
        <v>253</v>
      </c>
      <c r="H75" s="12" t="s">
        <v>249</v>
      </c>
      <c r="I75" s="52">
        <v>46372.0</v>
      </c>
      <c r="J75" s="52">
        <v>46374.0</v>
      </c>
      <c r="K75" s="53"/>
      <c r="L75" s="53"/>
      <c r="M75" s="12" t="s">
        <v>254</v>
      </c>
      <c r="N75" s="11" t="s">
        <v>54</v>
      </c>
      <c r="O75" s="11" t="s">
        <v>55</v>
      </c>
      <c r="P75" s="11" t="s">
        <v>251</v>
      </c>
      <c r="Q75" s="54"/>
      <c r="R75" s="32">
        <v>46264.0</v>
      </c>
      <c r="S75" s="54"/>
      <c r="T75" s="55"/>
      <c r="U75" s="11" t="s">
        <v>54</v>
      </c>
      <c r="V75" s="56"/>
      <c r="W75" s="12" t="s">
        <v>56</v>
      </c>
      <c r="X75" s="11" t="s">
        <v>54</v>
      </c>
      <c r="Y75" s="54"/>
      <c r="Z75" s="16"/>
      <c r="AA75" s="19"/>
      <c r="AB75" s="54"/>
      <c r="AC75" s="12" t="str">
        <f t="shared" si="2"/>
        <v>RA012M01</v>
      </c>
    </row>
    <row r="76" ht="18.0" customHeight="1">
      <c r="A76" s="11">
        <f t="shared" si="1"/>
        <v>73</v>
      </c>
      <c r="B76" s="12" t="s">
        <v>245</v>
      </c>
      <c r="C76" s="11" t="s">
        <v>246</v>
      </c>
      <c r="D76" s="12" t="s">
        <v>45</v>
      </c>
      <c r="E76" s="12" t="s">
        <v>47</v>
      </c>
      <c r="F76" s="12" t="s">
        <v>255</v>
      </c>
      <c r="G76" s="13" t="s">
        <v>256</v>
      </c>
      <c r="H76" s="12" t="s">
        <v>249</v>
      </c>
      <c r="I76" s="52">
        <v>46344.0</v>
      </c>
      <c r="J76" s="52">
        <v>46345.0</v>
      </c>
      <c r="K76" s="53"/>
      <c r="L76" s="53"/>
      <c r="M76" s="12" t="s">
        <v>257</v>
      </c>
      <c r="N76" s="11" t="s">
        <v>54</v>
      </c>
      <c r="O76" s="11" t="s">
        <v>55</v>
      </c>
      <c r="P76" s="11" t="s">
        <v>251</v>
      </c>
      <c r="Q76" s="54"/>
      <c r="R76" s="32">
        <v>46264.0</v>
      </c>
      <c r="S76" s="54"/>
      <c r="T76" s="55"/>
      <c r="U76" s="11" t="s">
        <v>54</v>
      </c>
      <c r="V76" s="56"/>
      <c r="W76" s="12" t="s">
        <v>56</v>
      </c>
      <c r="X76" s="11" t="s">
        <v>82</v>
      </c>
      <c r="Y76" s="11" t="s">
        <v>82</v>
      </c>
      <c r="Z76" s="14">
        <v>46268.0</v>
      </c>
      <c r="AA76" s="14">
        <v>46268.0</v>
      </c>
      <c r="AB76" s="54"/>
      <c r="AC76" s="12" t="str">
        <f t="shared" si="2"/>
        <v>RA021M01</v>
      </c>
    </row>
    <row r="77" ht="18.0" customHeight="1">
      <c r="A77" s="11">
        <f t="shared" si="1"/>
        <v>74</v>
      </c>
      <c r="B77" s="12" t="s">
        <v>245</v>
      </c>
      <c r="C77" s="11" t="s">
        <v>246</v>
      </c>
      <c r="D77" s="12" t="s">
        <v>45</v>
      </c>
      <c r="E77" s="12" t="s">
        <v>47</v>
      </c>
      <c r="F77" s="12" t="s">
        <v>258</v>
      </c>
      <c r="G77" s="13" t="s">
        <v>259</v>
      </c>
      <c r="H77" s="12" t="s">
        <v>249</v>
      </c>
      <c r="I77" s="52">
        <v>46346.0</v>
      </c>
      <c r="J77" s="52">
        <v>46348.0</v>
      </c>
      <c r="K77" s="53"/>
      <c r="L77" s="53"/>
      <c r="M77" s="12" t="s">
        <v>260</v>
      </c>
      <c r="N77" s="11" t="s">
        <v>54</v>
      </c>
      <c r="O77" s="11" t="s">
        <v>55</v>
      </c>
      <c r="P77" s="11" t="s">
        <v>251</v>
      </c>
      <c r="Q77" s="54"/>
      <c r="R77" s="32">
        <v>46264.0</v>
      </c>
      <c r="S77" s="54"/>
      <c r="T77" s="55"/>
      <c r="U77" s="11" t="s">
        <v>54</v>
      </c>
      <c r="V77" s="56"/>
      <c r="W77" s="12" t="s">
        <v>56</v>
      </c>
      <c r="X77" s="11" t="s">
        <v>82</v>
      </c>
      <c r="Y77" s="11" t="s">
        <v>82</v>
      </c>
      <c r="Z77" s="14">
        <v>46268.0</v>
      </c>
      <c r="AA77" s="14">
        <v>46268.0</v>
      </c>
      <c r="AB77" s="54"/>
      <c r="AC77" s="12" t="str">
        <f t="shared" si="2"/>
        <v>RA031M01</v>
      </c>
    </row>
    <row r="78" ht="18.0" customHeight="1">
      <c r="A78" s="11">
        <f t="shared" si="1"/>
        <v>75</v>
      </c>
      <c r="B78" s="12" t="s">
        <v>245</v>
      </c>
      <c r="C78" s="11" t="s">
        <v>246</v>
      </c>
      <c r="D78" s="12" t="s">
        <v>45</v>
      </c>
      <c r="E78" s="12" t="s">
        <v>47</v>
      </c>
      <c r="F78" s="12" t="s">
        <v>261</v>
      </c>
      <c r="G78" s="13" t="s">
        <v>262</v>
      </c>
      <c r="H78" s="12" t="s">
        <v>249</v>
      </c>
      <c r="I78" s="52">
        <v>46351.0</v>
      </c>
      <c r="J78" s="52">
        <v>46353.0</v>
      </c>
      <c r="K78" s="53"/>
      <c r="L78" s="53"/>
      <c r="M78" s="12" t="s">
        <v>263</v>
      </c>
      <c r="N78" s="11" t="s">
        <v>54</v>
      </c>
      <c r="O78" s="11" t="s">
        <v>55</v>
      </c>
      <c r="P78" s="11" t="s">
        <v>251</v>
      </c>
      <c r="Q78" s="54"/>
      <c r="R78" s="32">
        <v>46264.0</v>
      </c>
      <c r="S78" s="54"/>
      <c r="T78" s="55"/>
      <c r="U78" s="11" t="s">
        <v>54</v>
      </c>
      <c r="V78" s="56"/>
      <c r="W78" s="12" t="s">
        <v>56</v>
      </c>
      <c r="X78" s="11" t="s">
        <v>82</v>
      </c>
      <c r="Y78" s="11" t="s">
        <v>82</v>
      </c>
      <c r="Z78" s="14">
        <v>46268.0</v>
      </c>
      <c r="AA78" s="14">
        <v>46268.0</v>
      </c>
      <c r="AB78" s="54"/>
      <c r="AC78" s="12" t="str">
        <f t="shared" si="2"/>
        <v>RA032M01</v>
      </c>
    </row>
    <row r="79" ht="18.0" customHeight="1">
      <c r="A79" s="11">
        <f t="shared" si="1"/>
        <v>76</v>
      </c>
      <c r="B79" s="12" t="s">
        <v>245</v>
      </c>
      <c r="C79" s="11" t="s">
        <v>246</v>
      </c>
      <c r="D79" s="12" t="s">
        <v>45</v>
      </c>
      <c r="E79" s="12" t="s">
        <v>47</v>
      </c>
      <c r="F79" s="12" t="s">
        <v>264</v>
      </c>
      <c r="G79" s="13" t="s">
        <v>265</v>
      </c>
      <c r="H79" s="12" t="s">
        <v>249</v>
      </c>
      <c r="I79" s="52">
        <v>46354.0</v>
      </c>
      <c r="J79" s="52">
        <v>46355.0</v>
      </c>
      <c r="K79" s="53"/>
      <c r="L79" s="53"/>
      <c r="M79" s="12" t="s">
        <v>266</v>
      </c>
      <c r="N79" s="11" t="s">
        <v>54</v>
      </c>
      <c r="O79" s="11" t="s">
        <v>55</v>
      </c>
      <c r="P79" s="11" t="s">
        <v>251</v>
      </c>
      <c r="Q79" s="54"/>
      <c r="R79" s="32">
        <v>46264.0</v>
      </c>
      <c r="S79" s="54"/>
      <c r="T79" s="55"/>
      <c r="U79" s="11" t="s">
        <v>54</v>
      </c>
      <c r="V79" s="56"/>
      <c r="W79" s="12" t="s">
        <v>56</v>
      </c>
      <c r="X79" s="11" t="s">
        <v>82</v>
      </c>
      <c r="Y79" s="11" t="s">
        <v>82</v>
      </c>
      <c r="Z79" s="14">
        <v>46268.0</v>
      </c>
      <c r="AA79" s="14">
        <v>46268.0</v>
      </c>
      <c r="AB79" s="54"/>
      <c r="AC79" s="12" t="str">
        <f t="shared" si="2"/>
        <v>RA033M01</v>
      </c>
    </row>
    <row r="80" ht="18.0" customHeight="1">
      <c r="A80" s="11">
        <f t="shared" si="1"/>
        <v>77</v>
      </c>
      <c r="B80" s="12" t="s">
        <v>245</v>
      </c>
      <c r="C80" s="11" t="s">
        <v>246</v>
      </c>
      <c r="D80" s="12" t="s">
        <v>45</v>
      </c>
      <c r="E80" s="12" t="s">
        <v>47</v>
      </c>
      <c r="F80" s="12" t="s">
        <v>267</v>
      </c>
      <c r="G80" s="13" t="s">
        <v>268</v>
      </c>
      <c r="H80" s="12" t="s">
        <v>249</v>
      </c>
      <c r="I80" s="52">
        <v>46355.0</v>
      </c>
      <c r="J80" s="52">
        <v>46358.0</v>
      </c>
      <c r="K80" s="53"/>
      <c r="L80" s="53"/>
      <c r="M80" s="12" t="s">
        <v>270</v>
      </c>
      <c r="N80" s="11" t="s">
        <v>54</v>
      </c>
      <c r="O80" s="11" t="s">
        <v>55</v>
      </c>
      <c r="P80" s="11" t="s">
        <v>251</v>
      </c>
      <c r="Q80" s="54"/>
      <c r="R80" s="32">
        <v>46264.0</v>
      </c>
      <c r="S80" s="54"/>
      <c r="T80" s="55"/>
      <c r="U80" s="11" t="s">
        <v>54</v>
      </c>
      <c r="V80" s="56"/>
      <c r="W80" s="12" t="s">
        <v>56</v>
      </c>
      <c r="X80" s="11" t="s">
        <v>82</v>
      </c>
      <c r="Y80" s="11" t="s">
        <v>82</v>
      </c>
      <c r="Z80" s="14">
        <v>46268.0</v>
      </c>
      <c r="AA80" s="14">
        <v>46268.0</v>
      </c>
      <c r="AB80" s="54"/>
      <c r="AC80" s="12" t="str">
        <f t="shared" si="2"/>
        <v>RA034M01</v>
      </c>
    </row>
    <row r="81" ht="18.0" customHeight="1">
      <c r="A81" s="11">
        <f t="shared" si="1"/>
        <v>78</v>
      </c>
      <c r="B81" s="12" t="s">
        <v>245</v>
      </c>
      <c r="C81" s="11" t="s">
        <v>246</v>
      </c>
      <c r="D81" s="12" t="s">
        <v>45</v>
      </c>
      <c r="E81" s="12" t="s">
        <v>47</v>
      </c>
      <c r="F81" s="12" t="s">
        <v>271</v>
      </c>
      <c r="G81" s="13" t="s">
        <v>272</v>
      </c>
      <c r="H81" s="12" t="s">
        <v>249</v>
      </c>
      <c r="I81" s="52">
        <v>46359.0</v>
      </c>
      <c r="J81" s="52">
        <v>46360.0</v>
      </c>
      <c r="K81" s="53"/>
      <c r="L81" s="53"/>
      <c r="M81" s="12" t="s">
        <v>273</v>
      </c>
      <c r="N81" s="11" t="s">
        <v>54</v>
      </c>
      <c r="O81" s="11" t="s">
        <v>55</v>
      </c>
      <c r="P81" s="11" t="s">
        <v>251</v>
      </c>
      <c r="Q81" s="54"/>
      <c r="R81" s="32">
        <v>46264.0</v>
      </c>
      <c r="S81" s="54"/>
      <c r="T81" s="55"/>
      <c r="U81" s="11" t="s">
        <v>54</v>
      </c>
      <c r="V81" s="56"/>
      <c r="W81" s="12" t="s">
        <v>56</v>
      </c>
      <c r="X81" s="11" t="s">
        <v>82</v>
      </c>
      <c r="Y81" s="11" t="s">
        <v>82</v>
      </c>
      <c r="Z81" s="14">
        <v>46268.0</v>
      </c>
      <c r="AA81" s="14">
        <v>46268.0</v>
      </c>
      <c r="AB81" s="54"/>
      <c r="AC81" s="12" t="str">
        <f t="shared" si="2"/>
        <v>RA035M01</v>
      </c>
    </row>
    <row r="82" ht="18.0" customHeight="1">
      <c r="A82" s="11">
        <f t="shared" si="1"/>
        <v>79</v>
      </c>
      <c r="B82" s="12" t="s">
        <v>245</v>
      </c>
      <c r="C82" s="11" t="s">
        <v>246</v>
      </c>
      <c r="D82" s="12" t="s">
        <v>45</v>
      </c>
      <c r="E82" s="12" t="s">
        <v>47</v>
      </c>
      <c r="F82" s="12" t="s">
        <v>274</v>
      </c>
      <c r="G82" s="13" t="s">
        <v>275</v>
      </c>
      <c r="H82" s="12" t="s">
        <v>249</v>
      </c>
      <c r="I82" s="52">
        <v>46361.0</v>
      </c>
      <c r="J82" s="52">
        <v>46362.0</v>
      </c>
      <c r="K82" s="53"/>
      <c r="L82" s="53"/>
      <c r="M82" s="12" t="s">
        <v>276</v>
      </c>
      <c r="N82" s="11" t="s">
        <v>54</v>
      </c>
      <c r="O82" s="11" t="s">
        <v>55</v>
      </c>
      <c r="P82" s="11" t="s">
        <v>251</v>
      </c>
      <c r="Q82" s="54"/>
      <c r="R82" s="32">
        <v>46264.0</v>
      </c>
      <c r="S82" s="54"/>
      <c r="T82" s="55"/>
      <c r="U82" s="11" t="s">
        <v>54</v>
      </c>
      <c r="V82" s="56"/>
      <c r="W82" s="12" t="s">
        <v>56</v>
      </c>
      <c r="X82" s="11" t="s">
        <v>82</v>
      </c>
      <c r="Y82" s="11" t="s">
        <v>82</v>
      </c>
      <c r="Z82" s="14">
        <v>46268.0</v>
      </c>
      <c r="AA82" s="14">
        <v>46268.0</v>
      </c>
      <c r="AB82" s="54"/>
      <c r="AC82" s="12" t="str">
        <f t="shared" si="2"/>
        <v>RA036M01</v>
      </c>
    </row>
    <row r="83" ht="18.0" customHeight="1">
      <c r="A83" s="11">
        <f t="shared" si="1"/>
        <v>80</v>
      </c>
      <c r="B83" s="12" t="s">
        <v>245</v>
      </c>
      <c r="C83" s="11" t="s">
        <v>246</v>
      </c>
      <c r="D83" s="12" t="s">
        <v>45</v>
      </c>
      <c r="E83" s="12" t="s">
        <v>47</v>
      </c>
      <c r="F83" s="12" t="s">
        <v>277</v>
      </c>
      <c r="G83" s="13" t="s">
        <v>278</v>
      </c>
      <c r="H83" s="12" t="s">
        <v>249</v>
      </c>
      <c r="I83" s="52">
        <v>46362.0</v>
      </c>
      <c r="J83" s="52">
        <v>46365.0</v>
      </c>
      <c r="K83" s="53"/>
      <c r="L83" s="53"/>
      <c r="M83" s="12" t="s">
        <v>279</v>
      </c>
      <c r="N83" s="11" t="s">
        <v>54</v>
      </c>
      <c r="O83" s="11" t="s">
        <v>55</v>
      </c>
      <c r="P83" s="11" t="s">
        <v>251</v>
      </c>
      <c r="Q83" s="54"/>
      <c r="R83" s="32">
        <v>46264.0</v>
      </c>
      <c r="S83" s="54"/>
      <c r="T83" s="55"/>
      <c r="U83" s="11" t="s">
        <v>54</v>
      </c>
      <c r="V83" s="56"/>
      <c r="W83" s="12" t="s">
        <v>56</v>
      </c>
      <c r="X83" s="11" t="s">
        <v>82</v>
      </c>
      <c r="Y83" s="11" t="s">
        <v>82</v>
      </c>
      <c r="Z83" s="14">
        <v>46268.0</v>
      </c>
      <c r="AA83" s="14">
        <v>46268.0</v>
      </c>
      <c r="AB83" s="54"/>
      <c r="AC83" s="12" t="str">
        <f t="shared" si="2"/>
        <v>RA037M01</v>
      </c>
    </row>
    <row r="84" ht="18.0" customHeight="1">
      <c r="A84" s="11">
        <f t="shared" si="1"/>
        <v>81</v>
      </c>
      <c r="B84" s="12" t="s">
        <v>245</v>
      </c>
      <c r="C84" s="11" t="s">
        <v>246</v>
      </c>
      <c r="D84" s="12" t="s">
        <v>45</v>
      </c>
      <c r="E84" s="12" t="s">
        <v>47</v>
      </c>
      <c r="F84" s="12" t="s">
        <v>280</v>
      </c>
      <c r="G84" s="13" t="s">
        <v>281</v>
      </c>
      <c r="H84" s="12" t="s">
        <v>249</v>
      </c>
      <c r="I84" s="52">
        <v>46366.0</v>
      </c>
      <c r="J84" s="52">
        <v>46368.0</v>
      </c>
      <c r="K84" s="53"/>
      <c r="L84" s="53"/>
      <c r="M84" s="12" t="s">
        <v>282</v>
      </c>
      <c r="N84" s="11" t="s">
        <v>54</v>
      </c>
      <c r="O84" s="11" t="s">
        <v>55</v>
      </c>
      <c r="P84" s="11" t="s">
        <v>251</v>
      </c>
      <c r="Q84" s="54"/>
      <c r="R84" s="32">
        <v>46264.0</v>
      </c>
      <c r="S84" s="54"/>
      <c r="T84" s="55"/>
      <c r="U84" s="11" t="s">
        <v>54</v>
      </c>
      <c r="V84" s="56"/>
      <c r="W84" s="12" t="s">
        <v>56</v>
      </c>
      <c r="X84" s="11" t="s">
        <v>82</v>
      </c>
      <c r="Y84" s="11" t="s">
        <v>82</v>
      </c>
      <c r="Z84" s="14">
        <v>46268.0</v>
      </c>
      <c r="AA84" s="14">
        <v>46268.0</v>
      </c>
      <c r="AB84" s="54"/>
      <c r="AC84" s="12" t="str">
        <f t="shared" si="2"/>
        <v>RA041M01</v>
      </c>
    </row>
    <row r="85" ht="18.0" customHeight="1">
      <c r="A85" s="11">
        <f t="shared" si="1"/>
        <v>82</v>
      </c>
      <c r="B85" s="12" t="s">
        <v>245</v>
      </c>
      <c r="C85" s="11" t="s">
        <v>246</v>
      </c>
      <c r="D85" s="12" t="s">
        <v>45</v>
      </c>
      <c r="E85" s="12" t="s">
        <v>47</v>
      </c>
      <c r="F85" s="12" t="s">
        <v>283</v>
      </c>
      <c r="G85" s="13" t="s">
        <v>284</v>
      </c>
      <c r="H85" s="12" t="s">
        <v>249</v>
      </c>
      <c r="I85" s="52">
        <v>46270.0</v>
      </c>
      <c r="J85" s="52">
        <v>46271.0</v>
      </c>
      <c r="K85" s="53"/>
      <c r="L85" s="53"/>
      <c r="M85" s="12" t="s">
        <v>285</v>
      </c>
      <c r="N85" s="11" t="s">
        <v>54</v>
      </c>
      <c r="O85" s="11" t="s">
        <v>55</v>
      </c>
      <c r="P85" s="11" t="s">
        <v>251</v>
      </c>
      <c r="Q85" s="54"/>
      <c r="R85" s="32">
        <v>46264.0</v>
      </c>
      <c r="S85" s="54"/>
      <c r="T85" s="55"/>
      <c r="U85" s="11" t="s">
        <v>54</v>
      </c>
      <c r="V85" s="56"/>
      <c r="W85" s="12" t="s">
        <v>56</v>
      </c>
      <c r="X85" s="11" t="s">
        <v>82</v>
      </c>
      <c r="Y85" s="11" t="s">
        <v>82</v>
      </c>
      <c r="Z85" s="14">
        <v>46268.0</v>
      </c>
      <c r="AA85" s="14">
        <v>46268.0</v>
      </c>
      <c r="AB85" s="54"/>
      <c r="AC85" s="12" t="str">
        <f t="shared" si="2"/>
        <v>RA042M01</v>
      </c>
    </row>
    <row r="86" ht="18.0" customHeight="1">
      <c r="A86" s="11">
        <f t="shared" si="1"/>
        <v>83</v>
      </c>
      <c r="B86" s="12" t="s">
        <v>245</v>
      </c>
      <c r="C86" s="11" t="s">
        <v>246</v>
      </c>
      <c r="D86" s="12" t="s">
        <v>45</v>
      </c>
      <c r="E86" s="12" t="s">
        <v>47</v>
      </c>
      <c r="F86" s="12" t="s">
        <v>286</v>
      </c>
      <c r="G86" s="13" t="s">
        <v>287</v>
      </c>
      <c r="H86" s="12" t="s">
        <v>249</v>
      </c>
      <c r="I86" s="52">
        <v>46274.0</v>
      </c>
      <c r="J86" s="52">
        <v>46275.0</v>
      </c>
      <c r="K86" s="53"/>
      <c r="L86" s="53"/>
      <c r="M86" s="12" t="s">
        <v>288</v>
      </c>
      <c r="N86" s="11" t="s">
        <v>54</v>
      </c>
      <c r="O86" s="11" t="s">
        <v>55</v>
      </c>
      <c r="P86" s="11" t="s">
        <v>251</v>
      </c>
      <c r="Q86" s="54"/>
      <c r="R86" s="32">
        <v>46264.0</v>
      </c>
      <c r="S86" s="54"/>
      <c r="T86" s="55"/>
      <c r="U86" s="11" t="s">
        <v>54</v>
      </c>
      <c r="V86" s="56"/>
      <c r="W86" s="12" t="s">
        <v>56</v>
      </c>
      <c r="X86" s="11" t="s">
        <v>82</v>
      </c>
      <c r="Y86" s="11" t="s">
        <v>82</v>
      </c>
      <c r="Z86" s="14">
        <v>46268.0</v>
      </c>
      <c r="AA86" s="14">
        <v>46268.0</v>
      </c>
      <c r="AB86" s="54"/>
      <c r="AC86" s="12" t="str">
        <f t="shared" si="2"/>
        <v>RA043M01</v>
      </c>
    </row>
    <row r="87" ht="18.0" customHeight="1">
      <c r="A87" s="11">
        <f t="shared" si="1"/>
        <v>84</v>
      </c>
      <c r="B87" s="12" t="s">
        <v>245</v>
      </c>
      <c r="C87" s="11" t="s">
        <v>246</v>
      </c>
      <c r="D87" s="12" t="s">
        <v>45</v>
      </c>
      <c r="E87" s="12" t="s">
        <v>47</v>
      </c>
      <c r="F87" s="12" t="s">
        <v>289</v>
      </c>
      <c r="G87" s="13" t="s">
        <v>290</v>
      </c>
      <c r="H87" s="12" t="s">
        <v>249</v>
      </c>
      <c r="I87" s="52">
        <v>46276.0</v>
      </c>
      <c r="J87" s="52">
        <v>46277.0</v>
      </c>
      <c r="K87" s="53"/>
      <c r="L87" s="53"/>
      <c r="M87" s="12" t="s">
        <v>291</v>
      </c>
      <c r="N87" s="11" t="s">
        <v>54</v>
      </c>
      <c r="O87" s="11" t="s">
        <v>55</v>
      </c>
      <c r="P87" s="11" t="s">
        <v>251</v>
      </c>
      <c r="Q87" s="54"/>
      <c r="R87" s="32">
        <v>46264.0</v>
      </c>
      <c r="S87" s="54"/>
      <c r="T87" s="55"/>
      <c r="U87" s="11" t="s">
        <v>54</v>
      </c>
      <c r="V87" s="56"/>
      <c r="W87" s="12" t="s">
        <v>56</v>
      </c>
      <c r="X87" s="11" t="s">
        <v>82</v>
      </c>
      <c r="Y87" s="11" t="s">
        <v>82</v>
      </c>
      <c r="Z87" s="14">
        <v>46268.0</v>
      </c>
      <c r="AA87" s="14">
        <v>46268.0</v>
      </c>
      <c r="AB87" s="54"/>
      <c r="AC87" s="12" t="str">
        <f t="shared" si="2"/>
        <v>RA044M01</v>
      </c>
    </row>
    <row r="88" ht="18.0" customHeight="1">
      <c r="A88" s="11">
        <f t="shared" si="1"/>
        <v>85</v>
      </c>
      <c r="B88" s="12" t="s">
        <v>245</v>
      </c>
      <c r="C88" s="11" t="s">
        <v>246</v>
      </c>
      <c r="D88" s="12" t="s">
        <v>45</v>
      </c>
      <c r="E88" s="12" t="s">
        <v>47</v>
      </c>
      <c r="F88" s="12" t="s">
        <v>292</v>
      </c>
      <c r="G88" s="13" t="s">
        <v>198</v>
      </c>
      <c r="H88" s="12" t="s">
        <v>249</v>
      </c>
      <c r="I88" s="52">
        <v>46278.0</v>
      </c>
      <c r="J88" s="52">
        <v>46281.0</v>
      </c>
      <c r="K88" s="53"/>
      <c r="L88" s="53"/>
      <c r="M88" s="12" t="s">
        <v>293</v>
      </c>
      <c r="N88" s="11" t="s">
        <v>54</v>
      </c>
      <c r="O88" s="11" t="s">
        <v>55</v>
      </c>
      <c r="P88" s="11" t="s">
        <v>251</v>
      </c>
      <c r="Q88" s="54"/>
      <c r="R88" s="32">
        <v>46264.0</v>
      </c>
      <c r="S88" s="54"/>
      <c r="T88" s="55"/>
      <c r="U88" s="11" t="s">
        <v>54</v>
      </c>
      <c r="V88" s="56"/>
      <c r="W88" s="12" t="s">
        <v>56</v>
      </c>
      <c r="X88" s="11" t="s">
        <v>82</v>
      </c>
      <c r="Y88" s="11" t="s">
        <v>82</v>
      </c>
      <c r="Z88" s="14">
        <v>46268.0</v>
      </c>
      <c r="AA88" s="14">
        <v>46268.0</v>
      </c>
      <c r="AB88" s="54"/>
      <c r="AC88" s="12" t="str">
        <f t="shared" si="2"/>
        <v>RA045M01</v>
      </c>
    </row>
    <row r="89" ht="18.0" customHeight="1">
      <c r="A89" s="11">
        <f t="shared" si="1"/>
        <v>86</v>
      </c>
      <c r="B89" s="12" t="s">
        <v>245</v>
      </c>
      <c r="C89" s="11" t="s">
        <v>246</v>
      </c>
      <c r="D89" s="12" t="s">
        <v>45</v>
      </c>
      <c r="E89" s="12" t="s">
        <v>47</v>
      </c>
      <c r="F89" s="12" t="s">
        <v>294</v>
      </c>
      <c r="G89" s="13" t="s">
        <v>295</v>
      </c>
      <c r="H89" s="11" t="s">
        <v>249</v>
      </c>
      <c r="I89" s="52">
        <v>46282.0</v>
      </c>
      <c r="J89" s="52">
        <v>46283.0</v>
      </c>
      <c r="K89" s="53"/>
      <c r="L89" s="53"/>
      <c r="M89" s="12" t="s">
        <v>296</v>
      </c>
      <c r="N89" s="11" t="s">
        <v>54</v>
      </c>
      <c r="O89" s="11" t="s">
        <v>85</v>
      </c>
      <c r="P89" s="11" t="s">
        <v>251</v>
      </c>
      <c r="Q89" s="54"/>
      <c r="R89" s="32">
        <v>46264.0</v>
      </c>
      <c r="S89" s="54"/>
      <c r="T89" s="55"/>
      <c r="U89" s="11" t="s">
        <v>54</v>
      </c>
      <c r="V89" s="56"/>
      <c r="W89" s="12" t="s">
        <v>56</v>
      </c>
      <c r="X89" s="11" t="s">
        <v>82</v>
      </c>
      <c r="Y89" s="11" t="s">
        <v>82</v>
      </c>
      <c r="Z89" s="14">
        <v>46268.0</v>
      </c>
      <c r="AA89" s="14">
        <v>46268.0</v>
      </c>
      <c r="AB89" s="54"/>
      <c r="AC89" s="12" t="str">
        <f t="shared" si="2"/>
        <v>RA046M01</v>
      </c>
    </row>
    <row r="90" ht="18.0" customHeight="1">
      <c r="A90" s="11">
        <f t="shared" si="1"/>
        <v>87</v>
      </c>
      <c r="B90" s="12" t="s">
        <v>245</v>
      </c>
      <c r="C90" s="11" t="s">
        <v>246</v>
      </c>
      <c r="D90" s="12" t="s">
        <v>45</v>
      </c>
      <c r="E90" s="12" t="s">
        <v>47</v>
      </c>
      <c r="F90" s="12" t="s">
        <v>297</v>
      </c>
      <c r="G90" s="13" t="s">
        <v>298</v>
      </c>
      <c r="H90" s="11" t="s">
        <v>249</v>
      </c>
      <c r="I90" s="52">
        <v>46283.0</v>
      </c>
      <c r="J90" s="11" t="s">
        <v>299</v>
      </c>
      <c r="K90" s="53"/>
      <c r="L90" s="53"/>
      <c r="M90" s="12" t="s">
        <v>300</v>
      </c>
      <c r="N90" s="11" t="s">
        <v>54</v>
      </c>
      <c r="O90" s="11" t="s">
        <v>85</v>
      </c>
      <c r="P90" s="11" t="s">
        <v>251</v>
      </c>
      <c r="Q90" s="54"/>
      <c r="R90" s="32">
        <v>46264.0</v>
      </c>
      <c r="S90" s="54"/>
      <c r="T90" s="55"/>
      <c r="U90" s="11" t="s">
        <v>54</v>
      </c>
      <c r="V90" s="56"/>
      <c r="W90" s="12" t="s">
        <v>56</v>
      </c>
      <c r="X90" s="11" t="s">
        <v>82</v>
      </c>
      <c r="Y90" s="11" t="s">
        <v>82</v>
      </c>
      <c r="Z90" s="14">
        <v>46268.0</v>
      </c>
      <c r="AA90" s="14">
        <v>46268.0</v>
      </c>
      <c r="AB90" s="54"/>
      <c r="AC90" s="12" t="str">
        <f t="shared" si="2"/>
        <v>RA049M01</v>
      </c>
    </row>
    <row r="91" ht="18.0" customHeight="1">
      <c r="A91" s="11">
        <f t="shared" si="1"/>
        <v>88</v>
      </c>
      <c r="B91" s="12" t="s">
        <v>245</v>
      </c>
      <c r="C91" s="11" t="s">
        <v>246</v>
      </c>
      <c r="D91" s="12" t="s">
        <v>45</v>
      </c>
      <c r="E91" s="12" t="s">
        <v>47</v>
      </c>
      <c r="F91" s="12" t="s">
        <v>301</v>
      </c>
      <c r="G91" s="13" t="s">
        <v>302</v>
      </c>
      <c r="H91" s="11" t="s">
        <v>249</v>
      </c>
      <c r="I91" s="52">
        <v>46284.0</v>
      </c>
      <c r="J91" s="52">
        <v>46285.0</v>
      </c>
      <c r="K91" s="53"/>
      <c r="L91" s="53"/>
      <c r="M91" s="12" t="s">
        <v>303</v>
      </c>
      <c r="N91" s="11" t="s">
        <v>54</v>
      </c>
      <c r="O91" s="11" t="s">
        <v>85</v>
      </c>
      <c r="P91" s="11" t="s">
        <v>251</v>
      </c>
      <c r="Q91" s="54"/>
      <c r="R91" s="32">
        <v>46264.0</v>
      </c>
      <c r="S91" s="54"/>
      <c r="T91" s="55"/>
      <c r="U91" s="11" t="s">
        <v>54</v>
      </c>
      <c r="V91" s="56"/>
      <c r="W91" s="12" t="s">
        <v>56</v>
      </c>
      <c r="X91" s="11" t="s">
        <v>82</v>
      </c>
      <c r="Y91" s="11" t="s">
        <v>82</v>
      </c>
      <c r="Z91" s="14">
        <v>46268.0</v>
      </c>
      <c r="AA91" s="14">
        <v>46268.0</v>
      </c>
      <c r="AB91" s="54"/>
      <c r="AC91" s="12" t="str">
        <f t="shared" si="2"/>
        <v>RA04AM01</v>
      </c>
    </row>
    <row r="92" ht="18.0" customHeight="1">
      <c r="A92" s="11">
        <f t="shared" si="1"/>
        <v>89</v>
      </c>
      <c r="B92" s="12" t="s">
        <v>245</v>
      </c>
      <c r="C92" s="11" t="s">
        <v>246</v>
      </c>
      <c r="D92" s="12" t="s">
        <v>45</v>
      </c>
      <c r="E92" s="12" t="s">
        <v>47</v>
      </c>
      <c r="F92" s="12" t="s">
        <v>304</v>
      </c>
      <c r="G92" s="13" t="s">
        <v>305</v>
      </c>
      <c r="H92" s="11" t="s">
        <v>249</v>
      </c>
      <c r="I92" s="52">
        <v>46288.0</v>
      </c>
      <c r="J92" s="52">
        <v>46295.0</v>
      </c>
      <c r="K92" s="53"/>
      <c r="L92" s="53"/>
      <c r="M92" s="12" t="s">
        <v>306</v>
      </c>
      <c r="N92" s="11" t="s">
        <v>54</v>
      </c>
      <c r="O92" s="11" t="s">
        <v>85</v>
      </c>
      <c r="P92" s="11" t="s">
        <v>251</v>
      </c>
      <c r="Q92" s="54"/>
      <c r="R92" s="32">
        <v>46264.0</v>
      </c>
      <c r="S92" s="54"/>
      <c r="T92" s="55"/>
      <c r="U92" s="11" t="s">
        <v>54</v>
      </c>
      <c r="V92" s="56"/>
      <c r="W92" s="12" t="s">
        <v>56</v>
      </c>
      <c r="X92" s="11" t="s">
        <v>82</v>
      </c>
      <c r="Y92" s="11" t="s">
        <v>82</v>
      </c>
      <c r="Z92" s="14">
        <v>46268.0</v>
      </c>
      <c r="AA92" s="14">
        <v>46268.0</v>
      </c>
      <c r="AB92" s="54"/>
      <c r="AC92" s="12" t="str">
        <f t="shared" si="2"/>
        <v>RA04BM01</v>
      </c>
    </row>
    <row r="93" ht="18.0" customHeight="1">
      <c r="A93" s="11">
        <f t="shared" si="1"/>
        <v>90</v>
      </c>
      <c r="B93" s="12" t="s">
        <v>245</v>
      </c>
      <c r="C93" s="11" t="s">
        <v>246</v>
      </c>
      <c r="D93" s="12" t="s">
        <v>45</v>
      </c>
      <c r="E93" s="12" t="s">
        <v>47</v>
      </c>
      <c r="F93" s="59" t="s">
        <v>307</v>
      </c>
      <c r="G93" s="13" t="s">
        <v>308</v>
      </c>
      <c r="H93" s="11" t="s">
        <v>249</v>
      </c>
      <c r="I93" s="52">
        <v>46369.0</v>
      </c>
      <c r="J93" s="52">
        <v>46369.0</v>
      </c>
      <c r="K93" s="53"/>
      <c r="L93" s="53"/>
      <c r="M93" s="59" t="s">
        <v>309</v>
      </c>
      <c r="N93" s="11" t="s">
        <v>54</v>
      </c>
      <c r="O93" s="11" t="s">
        <v>76</v>
      </c>
      <c r="P93" s="11" t="s">
        <v>251</v>
      </c>
      <c r="Q93" s="54"/>
      <c r="R93" s="32">
        <v>46264.0</v>
      </c>
      <c r="S93" s="54"/>
      <c r="T93" s="55"/>
      <c r="U93" s="11" t="s">
        <v>54</v>
      </c>
      <c r="V93" s="56"/>
      <c r="W93" s="12" t="s">
        <v>56</v>
      </c>
      <c r="X93" s="11" t="s">
        <v>54</v>
      </c>
      <c r="Y93" s="54"/>
      <c r="Z93" s="16"/>
      <c r="AA93" s="19"/>
      <c r="AB93" s="54"/>
      <c r="AC93" s="12" t="str">
        <f t="shared" si="2"/>
        <v>RA047M01</v>
      </c>
    </row>
    <row r="94" ht="18.0" customHeight="1">
      <c r="A94" s="11">
        <f t="shared" si="1"/>
        <v>91</v>
      </c>
      <c r="B94" s="12" t="s">
        <v>245</v>
      </c>
      <c r="C94" s="11" t="s">
        <v>246</v>
      </c>
      <c r="D94" s="12" t="s">
        <v>45</v>
      </c>
      <c r="E94" s="12" t="s">
        <v>47</v>
      </c>
      <c r="F94" s="12" t="s">
        <v>310</v>
      </c>
      <c r="G94" s="13" t="s">
        <v>311</v>
      </c>
      <c r="H94" s="11" t="s">
        <v>249</v>
      </c>
      <c r="I94" s="52">
        <v>46295.0</v>
      </c>
      <c r="J94" s="52">
        <v>46296.0</v>
      </c>
      <c r="K94" s="53"/>
      <c r="L94" s="53"/>
      <c r="M94" s="12" t="s">
        <v>312</v>
      </c>
      <c r="N94" s="11" t="s">
        <v>54</v>
      </c>
      <c r="O94" s="11" t="s">
        <v>55</v>
      </c>
      <c r="P94" s="11" t="s">
        <v>251</v>
      </c>
      <c r="Q94" s="54"/>
      <c r="R94" s="32">
        <v>46264.0</v>
      </c>
      <c r="S94" s="54"/>
      <c r="T94" s="55"/>
      <c r="U94" s="11" t="s">
        <v>54</v>
      </c>
      <c r="V94" s="56"/>
      <c r="W94" s="12" t="s">
        <v>56</v>
      </c>
      <c r="X94" s="11" t="s">
        <v>82</v>
      </c>
      <c r="Y94" s="11" t="s">
        <v>82</v>
      </c>
      <c r="Z94" s="14">
        <v>46268.0</v>
      </c>
      <c r="AA94" s="14">
        <v>46268.0</v>
      </c>
      <c r="AB94" s="54"/>
      <c r="AC94" s="12" t="str">
        <f t="shared" si="2"/>
        <v>RA048M01</v>
      </c>
    </row>
    <row r="95" ht="18.0" customHeight="1">
      <c r="A95" s="11">
        <f t="shared" si="1"/>
        <v>92</v>
      </c>
      <c r="B95" s="12" t="s">
        <v>245</v>
      </c>
      <c r="C95" s="11" t="s">
        <v>246</v>
      </c>
      <c r="D95" s="12" t="s">
        <v>45</v>
      </c>
      <c r="E95" s="12" t="s">
        <v>47</v>
      </c>
      <c r="F95" s="12" t="s">
        <v>313</v>
      </c>
      <c r="G95" s="13" t="s">
        <v>314</v>
      </c>
      <c r="H95" s="11" t="s">
        <v>249</v>
      </c>
      <c r="I95" s="52">
        <v>46297.0</v>
      </c>
      <c r="J95" s="52">
        <v>46303.0</v>
      </c>
      <c r="K95" s="53"/>
      <c r="L95" s="53"/>
      <c r="M95" s="12" t="s">
        <v>315</v>
      </c>
      <c r="N95" s="11" t="s">
        <v>54</v>
      </c>
      <c r="O95" s="11" t="s">
        <v>85</v>
      </c>
      <c r="P95" s="11" t="s">
        <v>251</v>
      </c>
      <c r="Q95" s="54"/>
      <c r="R95" s="32">
        <v>46264.0</v>
      </c>
      <c r="S95" s="54"/>
      <c r="T95" s="55"/>
      <c r="U95" s="11" t="s">
        <v>54</v>
      </c>
      <c r="V95" s="56"/>
      <c r="W95" s="12" t="s">
        <v>56</v>
      </c>
      <c r="X95" s="11" t="s">
        <v>54</v>
      </c>
      <c r="Y95" s="54"/>
      <c r="Z95" s="16"/>
      <c r="AA95" s="19"/>
      <c r="AB95" s="54"/>
      <c r="AC95" s="12" t="str">
        <f t="shared" si="2"/>
        <v>RA051M01</v>
      </c>
    </row>
    <row r="96" ht="18.0" customHeight="1">
      <c r="A96" s="11">
        <f t="shared" si="1"/>
        <v>93</v>
      </c>
      <c r="B96" s="12" t="s">
        <v>245</v>
      </c>
      <c r="C96" s="11" t="s">
        <v>246</v>
      </c>
      <c r="D96" s="12" t="s">
        <v>45</v>
      </c>
      <c r="E96" s="12" t="s">
        <v>47</v>
      </c>
      <c r="F96" s="12" t="s">
        <v>316</v>
      </c>
      <c r="G96" s="13" t="s">
        <v>317</v>
      </c>
      <c r="H96" s="11" t="s">
        <v>249</v>
      </c>
      <c r="I96" s="52">
        <v>46303.0</v>
      </c>
      <c r="J96" s="52">
        <v>46309.0</v>
      </c>
      <c r="K96" s="53"/>
      <c r="L96" s="53"/>
      <c r="M96" s="12" t="s">
        <v>318</v>
      </c>
      <c r="N96" s="11" t="s">
        <v>54</v>
      </c>
      <c r="O96" s="11" t="s">
        <v>85</v>
      </c>
      <c r="P96" s="11" t="s">
        <v>251</v>
      </c>
      <c r="Q96" s="54"/>
      <c r="R96" s="32">
        <v>46264.0</v>
      </c>
      <c r="S96" s="54"/>
      <c r="T96" s="55"/>
      <c r="U96" s="11" t="s">
        <v>54</v>
      </c>
      <c r="V96" s="56"/>
      <c r="W96" s="12" t="s">
        <v>56</v>
      </c>
      <c r="X96" s="11" t="s">
        <v>54</v>
      </c>
      <c r="Y96" s="54"/>
      <c r="Z96" s="16"/>
      <c r="AA96" s="19"/>
      <c r="AB96" s="54"/>
      <c r="AC96" s="12" t="str">
        <f t="shared" si="2"/>
        <v>RA052M01</v>
      </c>
    </row>
    <row r="97" ht="18.0" customHeight="1">
      <c r="A97" s="11">
        <f t="shared" si="1"/>
        <v>94</v>
      </c>
      <c r="B97" s="12" t="s">
        <v>245</v>
      </c>
      <c r="C97" s="11" t="s">
        <v>246</v>
      </c>
      <c r="D97" s="12" t="s">
        <v>45</v>
      </c>
      <c r="E97" s="12" t="s">
        <v>47</v>
      </c>
      <c r="F97" s="12" t="s">
        <v>319</v>
      </c>
      <c r="G97" s="13" t="s">
        <v>320</v>
      </c>
      <c r="H97" s="11" t="s">
        <v>249</v>
      </c>
      <c r="I97" s="52">
        <v>46310.0</v>
      </c>
      <c r="J97" s="52">
        <v>46313.0</v>
      </c>
      <c r="K97" s="53"/>
      <c r="L97" s="53"/>
      <c r="M97" s="12" t="s">
        <v>321</v>
      </c>
      <c r="N97" s="11" t="s">
        <v>54</v>
      </c>
      <c r="O97" s="11" t="s">
        <v>76</v>
      </c>
      <c r="P97" s="11" t="s">
        <v>251</v>
      </c>
      <c r="Q97" s="54"/>
      <c r="R97" s="32">
        <v>46264.0</v>
      </c>
      <c r="S97" s="54"/>
      <c r="T97" s="55"/>
      <c r="U97" s="11" t="s">
        <v>54</v>
      </c>
      <c r="V97" s="56"/>
      <c r="W97" s="12" t="s">
        <v>56</v>
      </c>
      <c r="X97" s="11" t="s">
        <v>54</v>
      </c>
      <c r="Y97" s="54"/>
      <c r="Z97" s="16"/>
      <c r="AA97" s="19"/>
      <c r="AB97" s="54"/>
      <c r="AC97" s="12" t="str">
        <f t="shared" si="2"/>
        <v>RA061M01</v>
      </c>
    </row>
    <row r="98" ht="18.0" customHeight="1">
      <c r="A98" s="11">
        <f t="shared" si="1"/>
        <v>95</v>
      </c>
      <c r="B98" s="12" t="s">
        <v>245</v>
      </c>
      <c r="C98" s="11" t="s">
        <v>246</v>
      </c>
      <c r="D98" s="12" t="s">
        <v>45</v>
      </c>
      <c r="E98" s="12" t="s">
        <v>47</v>
      </c>
      <c r="F98" s="12" t="s">
        <v>322</v>
      </c>
      <c r="G98" s="13" t="s">
        <v>323</v>
      </c>
      <c r="H98" s="11" t="s">
        <v>249</v>
      </c>
      <c r="I98" s="52">
        <v>46375.0</v>
      </c>
      <c r="J98" s="52">
        <v>46375.0</v>
      </c>
      <c r="K98" s="53"/>
      <c r="L98" s="53"/>
      <c r="M98" s="12" t="s">
        <v>324</v>
      </c>
      <c r="N98" s="11" t="s">
        <v>54</v>
      </c>
      <c r="O98" s="11" t="s">
        <v>76</v>
      </c>
      <c r="P98" s="11" t="s">
        <v>251</v>
      </c>
      <c r="Q98" s="54"/>
      <c r="R98" s="32">
        <v>46264.0</v>
      </c>
      <c r="S98" s="54"/>
      <c r="T98" s="55"/>
      <c r="U98" s="11" t="s">
        <v>54</v>
      </c>
      <c r="V98" s="56"/>
      <c r="W98" s="12" t="s">
        <v>56</v>
      </c>
      <c r="X98" s="11" t="s">
        <v>54</v>
      </c>
      <c r="Y98" s="54"/>
      <c r="Z98" s="16"/>
      <c r="AA98" s="19"/>
      <c r="AB98" s="54"/>
      <c r="AC98" s="12" t="str">
        <f t="shared" si="2"/>
        <v>RA071M01</v>
      </c>
    </row>
    <row r="99" ht="18.0" customHeight="1">
      <c r="A99" s="11">
        <f t="shared" si="1"/>
        <v>96</v>
      </c>
      <c r="B99" s="12" t="s">
        <v>245</v>
      </c>
      <c r="C99" s="11" t="s">
        <v>246</v>
      </c>
      <c r="D99" s="12" t="s">
        <v>45</v>
      </c>
      <c r="E99" s="12" t="s">
        <v>47</v>
      </c>
      <c r="F99" s="12" t="s">
        <v>325</v>
      </c>
      <c r="G99" s="13" t="s">
        <v>326</v>
      </c>
      <c r="H99" s="11" t="s">
        <v>249</v>
      </c>
      <c r="I99" s="52">
        <v>46376.0</v>
      </c>
      <c r="J99" s="52">
        <v>46379.0</v>
      </c>
      <c r="K99" s="53"/>
      <c r="L99" s="53"/>
      <c r="M99" s="12" t="s">
        <v>327</v>
      </c>
      <c r="N99" s="11" t="s">
        <v>54</v>
      </c>
      <c r="O99" s="11" t="s">
        <v>76</v>
      </c>
      <c r="P99" s="11" t="s">
        <v>251</v>
      </c>
      <c r="Q99" s="54"/>
      <c r="R99" s="32">
        <v>46264.0</v>
      </c>
      <c r="S99" s="54"/>
      <c r="T99" s="55"/>
      <c r="U99" s="11" t="s">
        <v>54</v>
      </c>
      <c r="V99" s="56"/>
      <c r="W99" s="12" t="s">
        <v>56</v>
      </c>
      <c r="X99" s="11" t="s">
        <v>54</v>
      </c>
      <c r="Y99" s="54"/>
      <c r="Z99" s="16"/>
      <c r="AA99" s="19"/>
      <c r="AB99" s="54"/>
      <c r="AC99" s="12" t="str">
        <f t="shared" si="2"/>
        <v>RA072M01</v>
      </c>
    </row>
    <row r="100" ht="18.0" customHeight="1">
      <c r="A100" s="11">
        <f t="shared" si="1"/>
        <v>97</v>
      </c>
      <c r="B100" s="12" t="s">
        <v>245</v>
      </c>
      <c r="C100" s="11" t="s">
        <v>246</v>
      </c>
      <c r="D100" s="12" t="s">
        <v>45</v>
      </c>
      <c r="E100" s="12" t="s">
        <v>47</v>
      </c>
      <c r="F100" s="11" t="s">
        <v>328</v>
      </c>
      <c r="G100" s="13" t="s">
        <v>329</v>
      </c>
      <c r="H100" s="11" t="s">
        <v>249</v>
      </c>
      <c r="I100" s="52">
        <v>46316.0</v>
      </c>
      <c r="J100" s="52">
        <v>46317.0</v>
      </c>
      <c r="K100" s="53"/>
      <c r="L100" s="53"/>
      <c r="M100" s="11" t="s">
        <v>330</v>
      </c>
      <c r="N100" s="11" t="s">
        <v>54</v>
      </c>
      <c r="O100" s="11" t="s">
        <v>55</v>
      </c>
      <c r="P100" s="11" t="s">
        <v>251</v>
      </c>
      <c r="Q100" s="54"/>
      <c r="R100" s="32">
        <v>46264.0</v>
      </c>
      <c r="S100" s="54"/>
      <c r="T100" s="55"/>
      <c r="U100" s="11" t="s">
        <v>54</v>
      </c>
      <c r="V100" s="56"/>
      <c r="W100" s="12" t="s">
        <v>56</v>
      </c>
      <c r="X100" s="11" t="s">
        <v>82</v>
      </c>
      <c r="Y100" s="11" t="s">
        <v>82</v>
      </c>
      <c r="Z100" s="14">
        <v>46268.0</v>
      </c>
      <c r="AA100" s="32">
        <v>46268.0</v>
      </c>
      <c r="AB100" s="54"/>
      <c r="AC100" s="12" t="str">
        <f t="shared" si="2"/>
        <v>RA073M01</v>
      </c>
    </row>
    <row r="101" ht="18.0" customHeight="1">
      <c r="A101" s="11">
        <f t="shared" si="1"/>
        <v>98</v>
      </c>
      <c r="B101" s="12" t="s">
        <v>245</v>
      </c>
      <c r="C101" s="11" t="s">
        <v>246</v>
      </c>
      <c r="D101" s="12" t="s">
        <v>45</v>
      </c>
      <c r="E101" s="12" t="s">
        <v>47</v>
      </c>
      <c r="F101" s="11" t="s">
        <v>331</v>
      </c>
      <c r="G101" s="13" t="s">
        <v>332</v>
      </c>
      <c r="H101" s="11" t="s">
        <v>249</v>
      </c>
      <c r="I101" s="52">
        <v>46318.0</v>
      </c>
      <c r="J101" s="52">
        <v>46320.0</v>
      </c>
      <c r="K101" s="53"/>
      <c r="L101" s="53"/>
      <c r="M101" s="11" t="s">
        <v>333</v>
      </c>
      <c r="N101" s="11" t="s">
        <v>54</v>
      </c>
      <c r="O101" s="11" t="s">
        <v>55</v>
      </c>
      <c r="P101" s="11" t="s">
        <v>251</v>
      </c>
      <c r="Q101" s="54"/>
      <c r="R101" s="32">
        <v>46264.0</v>
      </c>
      <c r="S101" s="54"/>
      <c r="T101" s="55"/>
      <c r="U101" s="11" t="s">
        <v>54</v>
      </c>
      <c r="V101" s="56"/>
      <c r="W101" s="12" t="s">
        <v>56</v>
      </c>
      <c r="X101" s="11" t="s">
        <v>82</v>
      </c>
      <c r="Y101" s="11" t="s">
        <v>82</v>
      </c>
      <c r="Z101" s="14">
        <v>46268.0</v>
      </c>
      <c r="AA101" s="32">
        <v>46268.0</v>
      </c>
      <c r="AB101" s="54"/>
      <c r="AC101" s="12" t="str">
        <f t="shared" si="2"/>
        <v>RA074M01</v>
      </c>
    </row>
    <row r="102" ht="18.0" customHeight="1">
      <c r="A102" s="11">
        <f t="shared" si="1"/>
        <v>99</v>
      </c>
      <c r="B102" s="12" t="s">
        <v>245</v>
      </c>
      <c r="C102" s="11" t="s">
        <v>246</v>
      </c>
      <c r="D102" s="12" t="s">
        <v>45</v>
      </c>
      <c r="E102" s="12" t="s">
        <v>47</v>
      </c>
      <c r="F102" s="11" t="s">
        <v>334</v>
      </c>
      <c r="G102" s="13" t="s">
        <v>335</v>
      </c>
      <c r="H102" s="11" t="s">
        <v>249</v>
      </c>
      <c r="I102" s="52">
        <v>46323.0</v>
      </c>
      <c r="J102" s="52">
        <v>46325.0</v>
      </c>
      <c r="K102" s="53"/>
      <c r="L102" s="53"/>
      <c r="M102" s="11" t="s">
        <v>336</v>
      </c>
      <c r="N102" s="11" t="s">
        <v>54</v>
      </c>
      <c r="O102" s="11" t="s">
        <v>55</v>
      </c>
      <c r="P102" s="11" t="s">
        <v>251</v>
      </c>
      <c r="Q102" s="54"/>
      <c r="R102" s="32">
        <v>46264.0</v>
      </c>
      <c r="S102" s="54"/>
      <c r="T102" s="55"/>
      <c r="U102" s="11" t="s">
        <v>54</v>
      </c>
      <c r="V102" s="56"/>
      <c r="W102" s="12" t="s">
        <v>56</v>
      </c>
      <c r="X102" s="11" t="s">
        <v>82</v>
      </c>
      <c r="Y102" s="11" t="s">
        <v>82</v>
      </c>
      <c r="Z102" s="14">
        <v>46268.0</v>
      </c>
      <c r="AA102" s="32">
        <v>46268.0</v>
      </c>
      <c r="AB102" s="54"/>
      <c r="AC102" s="12" t="str">
        <f t="shared" si="2"/>
        <v>RA075M01</v>
      </c>
    </row>
    <row r="103" ht="18.0" customHeight="1">
      <c r="A103" s="11">
        <f t="shared" si="1"/>
        <v>100</v>
      </c>
      <c r="B103" s="12" t="s">
        <v>245</v>
      </c>
      <c r="C103" s="11" t="s">
        <v>246</v>
      </c>
      <c r="D103" s="12" t="s">
        <v>45</v>
      </c>
      <c r="E103" s="12" t="s">
        <v>47</v>
      </c>
      <c r="F103" s="11" t="s">
        <v>337</v>
      </c>
      <c r="G103" s="13" t="s">
        <v>338</v>
      </c>
      <c r="H103" s="11" t="s">
        <v>249</v>
      </c>
      <c r="I103" s="52">
        <v>46325.0</v>
      </c>
      <c r="J103" s="52">
        <v>46327.0</v>
      </c>
      <c r="K103" s="53"/>
      <c r="L103" s="53"/>
      <c r="M103" s="11" t="s">
        <v>339</v>
      </c>
      <c r="N103" s="11" t="s">
        <v>54</v>
      </c>
      <c r="O103" s="11" t="s">
        <v>55</v>
      </c>
      <c r="P103" s="11" t="s">
        <v>251</v>
      </c>
      <c r="Q103" s="54"/>
      <c r="R103" s="32">
        <v>46264.0</v>
      </c>
      <c r="S103" s="54"/>
      <c r="T103" s="55"/>
      <c r="U103" s="11" t="s">
        <v>54</v>
      </c>
      <c r="V103" s="56"/>
      <c r="W103" s="12" t="s">
        <v>56</v>
      </c>
      <c r="X103" s="11" t="s">
        <v>82</v>
      </c>
      <c r="Y103" s="11" t="s">
        <v>82</v>
      </c>
      <c r="Z103" s="14">
        <v>46268.0</v>
      </c>
      <c r="AA103" s="32">
        <v>46268.0</v>
      </c>
      <c r="AB103" s="54"/>
      <c r="AC103" s="12" t="str">
        <f t="shared" si="2"/>
        <v>RA076M01</v>
      </c>
    </row>
    <row r="104" ht="18.0" customHeight="1">
      <c r="A104" s="11">
        <f t="shared" si="1"/>
        <v>101</v>
      </c>
      <c r="B104" s="12" t="s">
        <v>245</v>
      </c>
      <c r="C104" s="11" t="s">
        <v>246</v>
      </c>
      <c r="D104" s="12" t="s">
        <v>45</v>
      </c>
      <c r="E104" s="12" t="s">
        <v>47</v>
      </c>
      <c r="F104" s="11" t="s">
        <v>340</v>
      </c>
      <c r="G104" s="13" t="s">
        <v>341</v>
      </c>
      <c r="H104" s="11" t="s">
        <v>249</v>
      </c>
      <c r="I104" s="52">
        <v>46330.0</v>
      </c>
      <c r="J104" s="52">
        <v>46332.0</v>
      </c>
      <c r="K104" s="53"/>
      <c r="L104" s="53"/>
      <c r="M104" s="11" t="s">
        <v>342</v>
      </c>
      <c r="N104" s="11" t="s">
        <v>54</v>
      </c>
      <c r="O104" s="11" t="s">
        <v>55</v>
      </c>
      <c r="P104" s="11" t="s">
        <v>251</v>
      </c>
      <c r="Q104" s="54"/>
      <c r="R104" s="32">
        <v>46264.0</v>
      </c>
      <c r="S104" s="54"/>
      <c r="T104" s="55"/>
      <c r="U104" s="11" t="s">
        <v>54</v>
      </c>
      <c r="V104" s="56"/>
      <c r="W104" s="12" t="s">
        <v>56</v>
      </c>
      <c r="X104" s="11" t="s">
        <v>82</v>
      </c>
      <c r="Y104" s="11" t="s">
        <v>82</v>
      </c>
      <c r="Z104" s="14">
        <v>46268.0</v>
      </c>
      <c r="AA104" s="32">
        <v>46268.0</v>
      </c>
      <c r="AB104" s="54"/>
      <c r="AC104" s="12" t="str">
        <f t="shared" si="2"/>
        <v>RA077M01</v>
      </c>
    </row>
    <row r="105" ht="18.0" customHeight="1">
      <c r="A105" s="11">
        <f t="shared" si="1"/>
        <v>102</v>
      </c>
      <c r="B105" s="12" t="s">
        <v>245</v>
      </c>
      <c r="C105" s="11" t="s">
        <v>246</v>
      </c>
      <c r="D105" s="12" t="s">
        <v>45</v>
      </c>
      <c r="E105" s="12" t="s">
        <v>47</v>
      </c>
      <c r="F105" s="11" t="s">
        <v>343</v>
      </c>
      <c r="G105" s="13" t="s">
        <v>344</v>
      </c>
      <c r="H105" s="11" t="s">
        <v>249</v>
      </c>
      <c r="I105" s="52">
        <v>46333.0</v>
      </c>
      <c r="J105" s="52">
        <v>46334.0</v>
      </c>
      <c r="K105" s="53"/>
      <c r="L105" s="53"/>
      <c r="M105" s="11" t="s">
        <v>345</v>
      </c>
      <c r="N105" s="11" t="s">
        <v>54</v>
      </c>
      <c r="O105" s="11" t="s">
        <v>55</v>
      </c>
      <c r="P105" s="11" t="s">
        <v>251</v>
      </c>
      <c r="Q105" s="54"/>
      <c r="R105" s="32">
        <v>46264.0</v>
      </c>
      <c r="S105" s="54"/>
      <c r="T105" s="55"/>
      <c r="U105" s="11" t="s">
        <v>54</v>
      </c>
      <c r="V105" s="56"/>
      <c r="W105" s="12" t="s">
        <v>56</v>
      </c>
      <c r="X105" s="11" t="s">
        <v>82</v>
      </c>
      <c r="Y105" s="11" t="s">
        <v>82</v>
      </c>
      <c r="Z105" s="14">
        <v>46268.0</v>
      </c>
      <c r="AA105" s="32">
        <v>46268.0</v>
      </c>
      <c r="AB105" s="54"/>
      <c r="AC105" s="12" t="str">
        <f t="shared" si="2"/>
        <v>RA078M01</v>
      </c>
    </row>
    <row r="106" ht="18.0" customHeight="1">
      <c r="A106" s="11">
        <f t="shared" si="1"/>
        <v>103</v>
      </c>
      <c r="B106" s="12" t="s">
        <v>245</v>
      </c>
      <c r="C106" s="11" t="s">
        <v>246</v>
      </c>
      <c r="D106" s="12" t="s">
        <v>45</v>
      </c>
      <c r="E106" s="12" t="s">
        <v>47</v>
      </c>
      <c r="F106" s="11" t="s">
        <v>348</v>
      </c>
      <c r="G106" s="13" t="s">
        <v>349</v>
      </c>
      <c r="H106" s="11" t="s">
        <v>249</v>
      </c>
      <c r="I106" s="52">
        <v>46334.0</v>
      </c>
      <c r="J106" s="52">
        <v>46337.0</v>
      </c>
      <c r="K106" s="53"/>
      <c r="L106" s="53"/>
      <c r="M106" s="11" t="s">
        <v>350</v>
      </c>
      <c r="N106" s="11" t="s">
        <v>54</v>
      </c>
      <c r="O106" s="11" t="s">
        <v>55</v>
      </c>
      <c r="P106" s="11" t="s">
        <v>251</v>
      </c>
      <c r="Q106" s="54"/>
      <c r="R106" s="32">
        <v>46264.0</v>
      </c>
      <c r="S106" s="54"/>
      <c r="T106" s="55"/>
      <c r="U106" s="11" t="s">
        <v>54</v>
      </c>
      <c r="V106" s="56"/>
      <c r="W106" s="12" t="s">
        <v>56</v>
      </c>
      <c r="X106" s="11" t="s">
        <v>82</v>
      </c>
      <c r="Y106" s="11" t="s">
        <v>82</v>
      </c>
      <c r="Z106" s="14">
        <v>46268.0</v>
      </c>
      <c r="AA106" s="32">
        <v>46268.0</v>
      </c>
      <c r="AB106" s="54"/>
      <c r="AC106" s="12" t="str">
        <f t="shared" si="2"/>
        <v>RA079M01</v>
      </c>
    </row>
    <row r="107" ht="18.0" customHeight="1">
      <c r="A107" s="11">
        <f t="shared" si="1"/>
        <v>104</v>
      </c>
      <c r="B107" s="12" t="s">
        <v>245</v>
      </c>
      <c r="C107" s="11" t="s">
        <v>351</v>
      </c>
      <c r="D107" s="12" t="s">
        <v>45</v>
      </c>
      <c r="E107" s="12" t="s">
        <v>47</v>
      </c>
      <c r="F107" s="12" t="s">
        <v>352</v>
      </c>
      <c r="G107" s="13" t="s">
        <v>353</v>
      </c>
      <c r="H107" s="11" t="s">
        <v>354</v>
      </c>
      <c r="I107" s="52">
        <v>46281.0</v>
      </c>
      <c r="J107" s="52">
        <v>46282.0</v>
      </c>
      <c r="K107" s="53"/>
      <c r="L107" s="53"/>
      <c r="M107" s="12" t="s">
        <v>355</v>
      </c>
      <c r="N107" s="11" t="s">
        <v>54</v>
      </c>
      <c r="O107" s="11" t="s">
        <v>55</v>
      </c>
      <c r="P107" s="11" t="s">
        <v>251</v>
      </c>
      <c r="Q107" s="54"/>
      <c r="R107" s="32">
        <v>46264.0</v>
      </c>
      <c r="S107" s="54"/>
      <c r="T107" s="55"/>
      <c r="U107" s="11" t="s">
        <v>54</v>
      </c>
      <c r="V107" s="56"/>
      <c r="W107" s="12" t="s">
        <v>56</v>
      </c>
      <c r="X107" s="11" t="s">
        <v>82</v>
      </c>
      <c r="Y107" s="54"/>
      <c r="Z107" s="14">
        <v>46268.0</v>
      </c>
      <c r="AA107" s="14">
        <v>46268.0</v>
      </c>
      <c r="AB107" s="54"/>
      <c r="AC107" s="12" t="str">
        <f t="shared" si="2"/>
        <v>RC011M01</v>
      </c>
    </row>
    <row r="108" ht="18.0" customHeight="1">
      <c r="A108" s="11">
        <f t="shared" si="1"/>
        <v>105</v>
      </c>
      <c r="B108" s="12" t="s">
        <v>245</v>
      </c>
      <c r="C108" s="11" t="s">
        <v>351</v>
      </c>
      <c r="D108" s="12" t="s">
        <v>45</v>
      </c>
      <c r="E108" s="12" t="s">
        <v>47</v>
      </c>
      <c r="F108" s="12" t="s">
        <v>356</v>
      </c>
      <c r="G108" s="13" t="s">
        <v>202</v>
      </c>
      <c r="H108" s="11" t="s">
        <v>354</v>
      </c>
      <c r="I108" s="52">
        <v>46283.0</v>
      </c>
      <c r="J108" s="52">
        <v>46284.0</v>
      </c>
      <c r="K108" s="53"/>
      <c r="L108" s="53"/>
      <c r="M108" s="12" t="s">
        <v>357</v>
      </c>
      <c r="N108" s="11" t="s">
        <v>54</v>
      </c>
      <c r="O108" s="11" t="s">
        <v>55</v>
      </c>
      <c r="P108" s="11" t="s">
        <v>251</v>
      </c>
      <c r="Q108" s="54"/>
      <c r="R108" s="32">
        <v>46264.0</v>
      </c>
      <c r="S108" s="54"/>
      <c r="T108" s="55"/>
      <c r="U108" s="11" t="s">
        <v>54</v>
      </c>
      <c r="V108" s="56"/>
      <c r="W108" s="12" t="s">
        <v>56</v>
      </c>
      <c r="X108" s="11" t="s">
        <v>82</v>
      </c>
      <c r="Y108" s="54"/>
      <c r="Z108" s="14">
        <v>46268.0</v>
      </c>
      <c r="AA108" s="14">
        <v>46268.0</v>
      </c>
      <c r="AB108" s="54"/>
      <c r="AC108" s="12" t="str">
        <f t="shared" si="2"/>
        <v>RC012M01</v>
      </c>
    </row>
    <row r="109" ht="18.0" customHeight="1">
      <c r="A109" s="11">
        <f t="shared" si="1"/>
        <v>106</v>
      </c>
      <c r="B109" s="12" t="s">
        <v>245</v>
      </c>
      <c r="C109" s="11" t="s">
        <v>351</v>
      </c>
      <c r="D109" s="12" t="s">
        <v>45</v>
      </c>
      <c r="E109" s="12" t="s">
        <v>47</v>
      </c>
      <c r="F109" s="12" t="s">
        <v>358</v>
      </c>
      <c r="G109" s="13" t="s">
        <v>359</v>
      </c>
      <c r="H109" s="11" t="s">
        <v>354</v>
      </c>
      <c r="I109" s="52">
        <v>46285.0</v>
      </c>
      <c r="J109" s="52">
        <v>46285.0</v>
      </c>
      <c r="K109" s="53"/>
      <c r="L109" s="53"/>
      <c r="M109" s="12" t="s">
        <v>360</v>
      </c>
      <c r="N109" s="11" t="s">
        <v>54</v>
      </c>
      <c r="O109" s="11" t="s">
        <v>55</v>
      </c>
      <c r="P109" s="11" t="s">
        <v>251</v>
      </c>
      <c r="Q109" s="54"/>
      <c r="R109" s="32">
        <v>46264.0</v>
      </c>
      <c r="S109" s="54"/>
      <c r="T109" s="55"/>
      <c r="U109" s="11" t="s">
        <v>54</v>
      </c>
      <c r="V109" s="56"/>
      <c r="W109" s="12" t="s">
        <v>56</v>
      </c>
      <c r="X109" s="11" t="s">
        <v>82</v>
      </c>
      <c r="Y109" s="54"/>
      <c r="Z109" s="14">
        <v>46268.0</v>
      </c>
      <c r="AA109" s="14">
        <v>46268.0</v>
      </c>
      <c r="AB109" s="54"/>
      <c r="AC109" s="12" t="str">
        <f t="shared" si="2"/>
        <v>RC013M01</v>
      </c>
    </row>
    <row r="110" ht="18.0" customHeight="1">
      <c r="A110" s="11">
        <f t="shared" si="1"/>
        <v>107</v>
      </c>
      <c r="B110" s="12" t="s">
        <v>245</v>
      </c>
      <c r="C110" s="11" t="s">
        <v>351</v>
      </c>
      <c r="D110" s="12" t="s">
        <v>45</v>
      </c>
      <c r="E110" s="12" t="s">
        <v>47</v>
      </c>
      <c r="F110" s="12" t="s">
        <v>361</v>
      </c>
      <c r="G110" s="13" t="s">
        <v>362</v>
      </c>
      <c r="H110" s="11" t="s">
        <v>354</v>
      </c>
      <c r="I110" s="52">
        <v>46288.0</v>
      </c>
      <c r="J110" s="52">
        <v>46289.0</v>
      </c>
      <c r="K110" s="53"/>
      <c r="L110" s="53"/>
      <c r="M110" s="12" t="s">
        <v>363</v>
      </c>
      <c r="N110" s="11" t="s">
        <v>54</v>
      </c>
      <c r="O110" s="11" t="s">
        <v>55</v>
      </c>
      <c r="P110" s="11" t="s">
        <v>251</v>
      </c>
      <c r="Q110" s="54"/>
      <c r="R110" s="32">
        <v>46264.0</v>
      </c>
      <c r="S110" s="54"/>
      <c r="T110" s="55"/>
      <c r="U110" s="11" t="s">
        <v>54</v>
      </c>
      <c r="V110" s="56"/>
      <c r="W110" s="12" t="s">
        <v>56</v>
      </c>
      <c r="X110" s="11" t="s">
        <v>82</v>
      </c>
      <c r="Y110" s="54"/>
      <c r="Z110" s="14">
        <v>46268.0</v>
      </c>
      <c r="AA110" s="14">
        <v>46268.0</v>
      </c>
      <c r="AB110" s="54"/>
      <c r="AC110" s="12" t="str">
        <f t="shared" si="2"/>
        <v>RC014M01</v>
      </c>
    </row>
    <row r="111" ht="18.0" customHeight="1">
      <c r="A111" s="11">
        <f t="shared" si="1"/>
        <v>108</v>
      </c>
      <c r="B111" s="12" t="s">
        <v>245</v>
      </c>
      <c r="C111" s="11" t="s">
        <v>351</v>
      </c>
      <c r="D111" s="12" t="s">
        <v>45</v>
      </c>
      <c r="E111" s="12" t="s">
        <v>47</v>
      </c>
      <c r="F111" s="12" t="s">
        <v>365</v>
      </c>
      <c r="G111" s="13" t="s">
        <v>366</v>
      </c>
      <c r="H111" s="11" t="s">
        <v>354</v>
      </c>
      <c r="I111" s="52">
        <v>46290.0</v>
      </c>
      <c r="J111" s="52">
        <v>46291.0</v>
      </c>
      <c r="K111" s="53"/>
      <c r="L111" s="53"/>
      <c r="M111" s="12" t="s">
        <v>367</v>
      </c>
      <c r="N111" s="11" t="s">
        <v>54</v>
      </c>
      <c r="O111" s="11" t="s">
        <v>55</v>
      </c>
      <c r="P111" s="11" t="s">
        <v>251</v>
      </c>
      <c r="Q111" s="54"/>
      <c r="R111" s="32">
        <v>46264.0</v>
      </c>
      <c r="S111" s="54"/>
      <c r="T111" s="55"/>
      <c r="U111" s="11" t="s">
        <v>54</v>
      </c>
      <c r="V111" s="56"/>
      <c r="W111" s="12" t="s">
        <v>56</v>
      </c>
      <c r="X111" s="11" t="s">
        <v>82</v>
      </c>
      <c r="Y111" s="54"/>
      <c r="Z111" s="14">
        <v>46268.0</v>
      </c>
      <c r="AA111" s="14">
        <v>46268.0</v>
      </c>
      <c r="AB111" s="54"/>
      <c r="AC111" s="12" t="str">
        <f t="shared" si="2"/>
        <v>RC015M01</v>
      </c>
    </row>
    <row r="112" ht="18.0" customHeight="1">
      <c r="A112" s="11">
        <f t="shared" si="1"/>
        <v>109</v>
      </c>
      <c r="B112" s="12" t="s">
        <v>245</v>
      </c>
      <c r="C112" s="11" t="s">
        <v>351</v>
      </c>
      <c r="D112" s="12" t="s">
        <v>45</v>
      </c>
      <c r="E112" s="12" t="s">
        <v>47</v>
      </c>
      <c r="F112" s="12" t="s">
        <v>368</v>
      </c>
      <c r="G112" s="13" t="s">
        <v>369</v>
      </c>
      <c r="H112" s="11" t="s">
        <v>354</v>
      </c>
      <c r="I112" s="52">
        <v>46292.0</v>
      </c>
      <c r="J112" s="52">
        <v>46295.0</v>
      </c>
      <c r="K112" s="53"/>
      <c r="L112" s="53"/>
      <c r="M112" s="12" t="s">
        <v>370</v>
      </c>
      <c r="N112" s="11" t="s">
        <v>54</v>
      </c>
      <c r="O112" s="11" t="s">
        <v>55</v>
      </c>
      <c r="P112" s="11" t="s">
        <v>251</v>
      </c>
      <c r="Q112" s="54"/>
      <c r="R112" s="32">
        <v>46264.0</v>
      </c>
      <c r="S112" s="54"/>
      <c r="T112" s="55"/>
      <c r="U112" s="11" t="s">
        <v>54</v>
      </c>
      <c r="V112" s="56"/>
      <c r="W112" s="12" t="s">
        <v>56</v>
      </c>
      <c r="X112" s="11" t="s">
        <v>82</v>
      </c>
      <c r="Y112" s="54"/>
      <c r="Z112" s="14">
        <v>46268.0</v>
      </c>
      <c r="AA112" s="14">
        <v>46268.0</v>
      </c>
      <c r="AB112" s="54"/>
      <c r="AC112" s="12" t="str">
        <f t="shared" si="2"/>
        <v>RC016M01</v>
      </c>
    </row>
    <row r="113" ht="18.0" customHeight="1">
      <c r="A113" s="11">
        <f t="shared" si="1"/>
        <v>110</v>
      </c>
      <c r="B113" s="12" t="s">
        <v>245</v>
      </c>
      <c r="C113" s="11" t="s">
        <v>351</v>
      </c>
      <c r="D113" s="12" t="s">
        <v>45</v>
      </c>
      <c r="E113" s="12" t="s">
        <v>47</v>
      </c>
      <c r="F113" s="12" t="s">
        <v>371</v>
      </c>
      <c r="G113" s="13" t="s">
        <v>372</v>
      </c>
      <c r="H113" s="11" t="s">
        <v>354</v>
      </c>
      <c r="I113" s="52">
        <v>46351.0</v>
      </c>
      <c r="J113" s="52">
        <v>46352.0</v>
      </c>
      <c r="K113" s="53"/>
      <c r="L113" s="53"/>
      <c r="M113" s="12" t="s">
        <v>373</v>
      </c>
      <c r="N113" s="11" t="s">
        <v>54</v>
      </c>
      <c r="O113" s="11" t="s">
        <v>76</v>
      </c>
      <c r="P113" s="11" t="s">
        <v>251</v>
      </c>
      <c r="Q113" s="54"/>
      <c r="R113" s="32">
        <v>46264.0</v>
      </c>
      <c r="S113" s="54"/>
      <c r="T113" s="55"/>
      <c r="U113" s="11" t="s">
        <v>54</v>
      </c>
      <c r="V113" s="56"/>
      <c r="W113" s="12" t="s">
        <v>56</v>
      </c>
      <c r="X113" s="11" t="s">
        <v>54</v>
      </c>
      <c r="Y113" s="54"/>
      <c r="Z113" s="16"/>
      <c r="AA113" s="19"/>
      <c r="AB113" s="54"/>
      <c r="AC113" s="12" t="str">
        <f t="shared" si="2"/>
        <v>RC017M01</v>
      </c>
    </row>
    <row r="114" ht="18.0" customHeight="1">
      <c r="A114" s="11">
        <f t="shared" si="1"/>
        <v>111</v>
      </c>
      <c r="B114" s="12" t="s">
        <v>245</v>
      </c>
      <c r="C114" s="11" t="s">
        <v>351</v>
      </c>
      <c r="D114" s="12" t="s">
        <v>45</v>
      </c>
      <c r="E114" s="12" t="s">
        <v>47</v>
      </c>
      <c r="F114" s="12" t="s">
        <v>374</v>
      </c>
      <c r="G114" s="13" t="s">
        <v>375</v>
      </c>
      <c r="H114" s="11" t="s">
        <v>354</v>
      </c>
      <c r="I114" s="52">
        <v>46353.0</v>
      </c>
      <c r="J114" s="52">
        <v>46354.0</v>
      </c>
      <c r="K114" s="53"/>
      <c r="L114" s="53"/>
      <c r="M114" s="12" t="s">
        <v>376</v>
      </c>
      <c r="N114" s="11" t="s">
        <v>54</v>
      </c>
      <c r="O114" s="11" t="s">
        <v>76</v>
      </c>
      <c r="P114" s="11" t="s">
        <v>251</v>
      </c>
      <c r="Q114" s="54"/>
      <c r="R114" s="32">
        <v>46264.0</v>
      </c>
      <c r="S114" s="54"/>
      <c r="T114" s="55"/>
      <c r="U114" s="11" t="s">
        <v>54</v>
      </c>
      <c r="V114" s="56"/>
      <c r="W114" s="12" t="s">
        <v>56</v>
      </c>
      <c r="X114" s="11" t="s">
        <v>54</v>
      </c>
      <c r="Y114" s="54"/>
      <c r="Z114" s="16"/>
      <c r="AA114" s="19"/>
      <c r="AB114" s="54"/>
      <c r="AC114" s="12" t="str">
        <f t="shared" si="2"/>
        <v>RC018M01</v>
      </c>
    </row>
    <row r="115" ht="18.0" customHeight="1">
      <c r="A115" s="11">
        <f t="shared" si="1"/>
        <v>112</v>
      </c>
      <c r="B115" s="12" t="s">
        <v>245</v>
      </c>
      <c r="C115" s="11" t="s">
        <v>351</v>
      </c>
      <c r="D115" s="12" t="s">
        <v>45</v>
      </c>
      <c r="E115" s="12" t="s">
        <v>47</v>
      </c>
      <c r="F115" s="59" t="s">
        <v>377</v>
      </c>
      <c r="G115" s="60" t="s">
        <v>378</v>
      </c>
      <c r="H115" s="11" t="s">
        <v>354</v>
      </c>
      <c r="I115" s="52">
        <v>46355.0</v>
      </c>
      <c r="J115" s="52">
        <v>46359.0</v>
      </c>
      <c r="K115" s="53"/>
      <c r="L115" s="53"/>
      <c r="M115" s="59" t="s">
        <v>379</v>
      </c>
      <c r="N115" s="11" t="s">
        <v>54</v>
      </c>
      <c r="O115" s="11" t="s">
        <v>76</v>
      </c>
      <c r="P115" s="11" t="s">
        <v>251</v>
      </c>
      <c r="Q115" s="54"/>
      <c r="R115" s="32">
        <v>46264.0</v>
      </c>
      <c r="S115" s="54"/>
      <c r="T115" s="55"/>
      <c r="U115" s="11" t="s">
        <v>54</v>
      </c>
      <c r="V115" s="56"/>
      <c r="W115" s="12" t="s">
        <v>56</v>
      </c>
      <c r="X115" s="11" t="s">
        <v>54</v>
      </c>
      <c r="Y115" s="54"/>
      <c r="Z115" s="16"/>
      <c r="AA115" s="19"/>
      <c r="AB115" s="54"/>
      <c r="AC115" s="12" t="str">
        <f t="shared" si="2"/>
        <v>RC019M01</v>
      </c>
    </row>
    <row r="116" ht="18.0" customHeight="1">
      <c r="A116" s="11">
        <f t="shared" si="1"/>
        <v>113</v>
      </c>
      <c r="B116" s="12" t="s">
        <v>245</v>
      </c>
      <c r="C116" s="11" t="s">
        <v>351</v>
      </c>
      <c r="D116" s="12" t="s">
        <v>45</v>
      </c>
      <c r="E116" s="12" t="s">
        <v>47</v>
      </c>
      <c r="F116" s="12" t="s">
        <v>380</v>
      </c>
      <c r="G116" s="13" t="s">
        <v>381</v>
      </c>
      <c r="H116" s="11" t="s">
        <v>354</v>
      </c>
      <c r="I116" s="52">
        <v>46360.0</v>
      </c>
      <c r="J116" s="52">
        <v>46361.0</v>
      </c>
      <c r="K116" s="53"/>
      <c r="L116" s="53"/>
      <c r="M116" s="12" t="s">
        <v>382</v>
      </c>
      <c r="N116" s="11" t="s">
        <v>54</v>
      </c>
      <c r="O116" s="11" t="s">
        <v>76</v>
      </c>
      <c r="P116" s="11" t="s">
        <v>251</v>
      </c>
      <c r="Q116" s="54"/>
      <c r="R116" s="32">
        <v>46264.0</v>
      </c>
      <c r="S116" s="54"/>
      <c r="T116" s="55"/>
      <c r="U116" s="11" t="s">
        <v>54</v>
      </c>
      <c r="V116" s="56"/>
      <c r="W116" s="12" t="s">
        <v>56</v>
      </c>
      <c r="X116" s="11" t="s">
        <v>54</v>
      </c>
      <c r="Y116" s="54"/>
      <c r="Z116" s="16"/>
      <c r="AA116" s="19"/>
      <c r="AB116" s="54"/>
      <c r="AC116" s="12" t="str">
        <f t="shared" si="2"/>
        <v>RC021M01</v>
      </c>
    </row>
    <row r="117" ht="18.0" customHeight="1">
      <c r="A117" s="11">
        <f t="shared" si="1"/>
        <v>114</v>
      </c>
      <c r="B117" s="12" t="s">
        <v>245</v>
      </c>
      <c r="C117" s="11" t="s">
        <v>351</v>
      </c>
      <c r="D117" s="12" t="s">
        <v>45</v>
      </c>
      <c r="E117" s="12" t="s">
        <v>47</v>
      </c>
      <c r="F117" s="59" t="s">
        <v>383</v>
      </c>
      <c r="G117" s="60" t="s">
        <v>384</v>
      </c>
      <c r="H117" s="11" t="s">
        <v>354</v>
      </c>
      <c r="I117" s="52">
        <v>46362.0</v>
      </c>
      <c r="J117" s="52">
        <v>46365.0</v>
      </c>
      <c r="K117" s="53"/>
      <c r="L117" s="53"/>
      <c r="M117" s="59" t="s">
        <v>385</v>
      </c>
      <c r="N117" s="11" t="s">
        <v>54</v>
      </c>
      <c r="O117" s="11" t="s">
        <v>76</v>
      </c>
      <c r="P117" s="11" t="s">
        <v>251</v>
      </c>
      <c r="Q117" s="54"/>
      <c r="R117" s="32">
        <v>46264.0</v>
      </c>
      <c r="S117" s="54"/>
      <c r="T117" s="55"/>
      <c r="U117" s="11" t="s">
        <v>54</v>
      </c>
      <c r="V117" s="56"/>
      <c r="W117" s="12" t="s">
        <v>56</v>
      </c>
      <c r="X117" s="11" t="s">
        <v>54</v>
      </c>
      <c r="Y117" s="54"/>
      <c r="Z117" s="16"/>
      <c r="AA117" s="19"/>
      <c r="AB117" s="54"/>
      <c r="AC117" s="12" t="str">
        <f t="shared" si="2"/>
        <v>RC022M01</v>
      </c>
    </row>
    <row r="118" ht="18.0" customHeight="1">
      <c r="A118" s="11">
        <f t="shared" si="1"/>
        <v>115</v>
      </c>
      <c r="B118" s="12" t="s">
        <v>245</v>
      </c>
      <c r="C118" s="11" t="s">
        <v>351</v>
      </c>
      <c r="D118" s="12" t="s">
        <v>45</v>
      </c>
      <c r="E118" s="12" t="s">
        <v>47</v>
      </c>
      <c r="F118" s="12" t="s">
        <v>386</v>
      </c>
      <c r="G118" s="13" t="s">
        <v>387</v>
      </c>
      <c r="H118" s="11" t="s">
        <v>354</v>
      </c>
      <c r="I118" s="52">
        <v>46366.0</v>
      </c>
      <c r="J118" s="52">
        <v>46367.0</v>
      </c>
      <c r="K118" s="53"/>
      <c r="L118" s="53"/>
      <c r="M118" s="12" t="s">
        <v>388</v>
      </c>
      <c r="N118" s="11" t="s">
        <v>54</v>
      </c>
      <c r="O118" s="11" t="s">
        <v>76</v>
      </c>
      <c r="P118" s="11" t="s">
        <v>251</v>
      </c>
      <c r="Q118" s="54"/>
      <c r="R118" s="32">
        <v>46264.0</v>
      </c>
      <c r="S118" s="54"/>
      <c r="T118" s="55"/>
      <c r="U118" s="11" t="s">
        <v>54</v>
      </c>
      <c r="V118" s="56"/>
      <c r="W118" s="12" t="s">
        <v>56</v>
      </c>
      <c r="X118" s="11" t="s">
        <v>54</v>
      </c>
      <c r="Y118" s="54"/>
      <c r="Z118" s="16"/>
      <c r="AA118" s="19"/>
      <c r="AB118" s="54"/>
      <c r="AC118" s="12" t="str">
        <f t="shared" si="2"/>
        <v>RC023M01</v>
      </c>
    </row>
    <row r="119" ht="18.0" customHeight="1">
      <c r="A119" s="11">
        <f t="shared" si="1"/>
        <v>116</v>
      </c>
      <c r="B119" s="12" t="s">
        <v>245</v>
      </c>
      <c r="C119" s="11" t="s">
        <v>351</v>
      </c>
      <c r="D119" s="12" t="s">
        <v>45</v>
      </c>
      <c r="E119" s="12" t="s">
        <v>47</v>
      </c>
      <c r="F119" s="12" t="s">
        <v>389</v>
      </c>
      <c r="G119" s="13" t="s">
        <v>390</v>
      </c>
      <c r="H119" s="11" t="s">
        <v>354</v>
      </c>
      <c r="I119" s="52">
        <v>46296.0</v>
      </c>
      <c r="J119" s="52">
        <v>46297.0</v>
      </c>
      <c r="K119" s="53"/>
      <c r="L119" s="53"/>
      <c r="M119" s="12" t="s">
        <v>391</v>
      </c>
      <c r="N119" s="11" t="s">
        <v>54</v>
      </c>
      <c r="O119" s="11" t="s">
        <v>85</v>
      </c>
      <c r="P119" s="11" t="s">
        <v>251</v>
      </c>
      <c r="Q119" s="54"/>
      <c r="R119" s="32">
        <v>46264.0</v>
      </c>
      <c r="S119" s="54"/>
      <c r="T119" s="55"/>
      <c r="U119" s="11" t="s">
        <v>54</v>
      </c>
      <c r="V119" s="56"/>
      <c r="W119" s="12" t="s">
        <v>56</v>
      </c>
      <c r="X119" s="11" t="s">
        <v>54</v>
      </c>
      <c r="Y119" s="54"/>
      <c r="Z119" s="16"/>
      <c r="AA119" s="19"/>
      <c r="AB119" s="54"/>
      <c r="AC119" s="12" t="str">
        <f t="shared" si="2"/>
        <v>RC031M01</v>
      </c>
    </row>
    <row r="120" ht="18.0" customHeight="1">
      <c r="A120" s="11">
        <f t="shared" si="1"/>
        <v>117</v>
      </c>
      <c r="B120" s="12" t="s">
        <v>245</v>
      </c>
      <c r="C120" s="11" t="s">
        <v>351</v>
      </c>
      <c r="D120" s="12" t="s">
        <v>45</v>
      </c>
      <c r="E120" s="12" t="s">
        <v>47</v>
      </c>
      <c r="F120" s="12" t="s">
        <v>392</v>
      </c>
      <c r="G120" s="13" t="s">
        <v>393</v>
      </c>
      <c r="H120" s="11" t="s">
        <v>354</v>
      </c>
      <c r="I120" s="52">
        <v>46299.0</v>
      </c>
      <c r="J120" s="52">
        <v>46302.0</v>
      </c>
      <c r="K120" s="53"/>
      <c r="L120" s="53"/>
      <c r="M120" s="12" t="s">
        <v>394</v>
      </c>
      <c r="N120" s="11" t="s">
        <v>54</v>
      </c>
      <c r="O120" s="11" t="s">
        <v>85</v>
      </c>
      <c r="P120" s="11" t="s">
        <v>251</v>
      </c>
      <c r="Q120" s="54"/>
      <c r="R120" s="32">
        <v>46264.0</v>
      </c>
      <c r="S120" s="54"/>
      <c r="T120" s="55"/>
      <c r="U120" s="11" t="s">
        <v>54</v>
      </c>
      <c r="V120" s="56"/>
      <c r="W120" s="12" t="s">
        <v>56</v>
      </c>
      <c r="X120" s="11" t="s">
        <v>54</v>
      </c>
      <c r="Y120" s="54"/>
      <c r="Z120" s="16"/>
      <c r="AA120" s="19"/>
      <c r="AB120" s="54"/>
      <c r="AC120" s="12" t="str">
        <f t="shared" si="2"/>
        <v>RC032M01</v>
      </c>
    </row>
    <row r="121" ht="18.0" customHeight="1">
      <c r="A121" s="11">
        <f t="shared" si="1"/>
        <v>118</v>
      </c>
      <c r="B121" s="12" t="s">
        <v>245</v>
      </c>
      <c r="C121" s="11" t="s">
        <v>351</v>
      </c>
      <c r="D121" s="12" t="s">
        <v>45</v>
      </c>
      <c r="E121" s="12" t="s">
        <v>47</v>
      </c>
      <c r="F121" s="12" t="s">
        <v>395</v>
      </c>
      <c r="G121" s="13" t="s">
        <v>396</v>
      </c>
      <c r="H121" s="11" t="s">
        <v>354</v>
      </c>
      <c r="I121" s="52">
        <v>46303.0</v>
      </c>
      <c r="J121" s="52">
        <v>46305.0</v>
      </c>
      <c r="K121" s="53"/>
      <c r="L121" s="53"/>
      <c r="M121" s="12" t="s">
        <v>397</v>
      </c>
      <c r="N121" s="11" t="s">
        <v>54</v>
      </c>
      <c r="O121" s="11" t="s">
        <v>85</v>
      </c>
      <c r="P121" s="11" t="s">
        <v>251</v>
      </c>
      <c r="Q121" s="54"/>
      <c r="R121" s="32">
        <v>46264.0</v>
      </c>
      <c r="S121" s="54"/>
      <c r="T121" s="55"/>
      <c r="U121" s="11" t="s">
        <v>54</v>
      </c>
      <c r="V121" s="56"/>
      <c r="W121" s="12" t="s">
        <v>56</v>
      </c>
      <c r="X121" s="11" t="s">
        <v>54</v>
      </c>
      <c r="Y121" s="54"/>
      <c r="Z121" s="16"/>
      <c r="AA121" s="19"/>
      <c r="AB121" s="54"/>
      <c r="AC121" s="12" t="str">
        <f t="shared" si="2"/>
        <v>RC033M01</v>
      </c>
    </row>
    <row r="122" ht="18.0" customHeight="1">
      <c r="A122" s="11">
        <f t="shared" si="1"/>
        <v>119</v>
      </c>
      <c r="B122" s="12" t="s">
        <v>245</v>
      </c>
      <c r="C122" s="11" t="s">
        <v>351</v>
      </c>
      <c r="D122" s="12" t="s">
        <v>45</v>
      </c>
      <c r="E122" s="12" t="s">
        <v>47</v>
      </c>
      <c r="F122" s="12" t="s">
        <v>398</v>
      </c>
      <c r="G122" s="13" t="s">
        <v>399</v>
      </c>
      <c r="H122" s="11" t="s">
        <v>354</v>
      </c>
      <c r="I122" s="52">
        <v>46306.0</v>
      </c>
      <c r="J122" s="52">
        <v>46309.0</v>
      </c>
      <c r="K122" s="53"/>
      <c r="L122" s="53"/>
      <c r="M122" s="12" t="s">
        <v>400</v>
      </c>
      <c r="N122" s="11" t="s">
        <v>54</v>
      </c>
      <c r="O122" s="11" t="s">
        <v>85</v>
      </c>
      <c r="P122" s="11" t="s">
        <v>251</v>
      </c>
      <c r="Q122" s="54"/>
      <c r="R122" s="32">
        <v>46264.0</v>
      </c>
      <c r="S122" s="54"/>
      <c r="T122" s="55"/>
      <c r="U122" s="11" t="s">
        <v>54</v>
      </c>
      <c r="V122" s="56"/>
      <c r="W122" s="12" t="s">
        <v>56</v>
      </c>
      <c r="X122" s="11" t="s">
        <v>54</v>
      </c>
      <c r="Y122" s="54"/>
      <c r="Z122" s="16"/>
      <c r="AA122" s="19"/>
      <c r="AB122" s="54"/>
      <c r="AC122" s="12" t="str">
        <f t="shared" si="2"/>
        <v>RC034M01</v>
      </c>
    </row>
    <row r="123" ht="18.0" customHeight="1">
      <c r="A123" s="11">
        <f t="shared" si="1"/>
        <v>120</v>
      </c>
      <c r="B123" s="12" t="s">
        <v>245</v>
      </c>
      <c r="C123" s="11" t="s">
        <v>351</v>
      </c>
      <c r="D123" s="12" t="s">
        <v>45</v>
      </c>
      <c r="E123" s="12" t="s">
        <v>47</v>
      </c>
      <c r="F123" s="12" t="s">
        <v>401</v>
      </c>
      <c r="G123" s="13" t="s">
        <v>402</v>
      </c>
      <c r="H123" s="11" t="s">
        <v>354</v>
      </c>
      <c r="I123" s="52">
        <v>46310.0</v>
      </c>
      <c r="J123" s="52">
        <v>46311.0</v>
      </c>
      <c r="K123" s="53"/>
      <c r="L123" s="53"/>
      <c r="M123" s="12" t="s">
        <v>403</v>
      </c>
      <c r="N123" s="11" t="s">
        <v>54</v>
      </c>
      <c r="O123" s="11" t="s">
        <v>85</v>
      </c>
      <c r="P123" s="11" t="s">
        <v>251</v>
      </c>
      <c r="Q123" s="54"/>
      <c r="R123" s="32">
        <v>46264.0</v>
      </c>
      <c r="S123" s="54"/>
      <c r="T123" s="55"/>
      <c r="U123" s="11" t="s">
        <v>54</v>
      </c>
      <c r="V123" s="56"/>
      <c r="W123" s="12" t="s">
        <v>56</v>
      </c>
      <c r="X123" s="11" t="s">
        <v>54</v>
      </c>
      <c r="Y123" s="54"/>
      <c r="Z123" s="16"/>
      <c r="AA123" s="19"/>
      <c r="AB123" s="54"/>
      <c r="AC123" s="12" t="str">
        <f t="shared" si="2"/>
        <v>RC035M01</v>
      </c>
    </row>
    <row r="124" ht="18.0" customHeight="1">
      <c r="A124" s="11">
        <f t="shared" si="1"/>
        <v>121</v>
      </c>
      <c r="B124" s="12" t="s">
        <v>245</v>
      </c>
      <c r="C124" s="11" t="s">
        <v>351</v>
      </c>
      <c r="D124" s="12" t="s">
        <v>45</v>
      </c>
      <c r="E124" s="12" t="s">
        <v>47</v>
      </c>
      <c r="F124" s="12" t="s">
        <v>404</v>
      </c>
      <c r="G124" s="13" t="s">
        <v>405</v>
      </c>
      <c r="H124" s="11" t="s">
        <v>354</v>
      </c>
      <c r="I124" s="52">
        <v>46312.0</v>
      </c>
      <c r="J124" s="52">
        <v>46313.0</v>
      </c>
      <c r="K124" s="53"/>
      <c r="L124" s="53"/>
      <c r="M124" s="12" t="s">
        <v>406</v>
      </c>
      <c r="N124" s="11" t="s">
        <v>54</v>
      </c>
      <c r="O124" s="11" t="s">
        <v>85</v>
      </c>
      <c r="P124" s="11" t="s">
        <v>251</v>
      </c>
      <c r="Q124" s="54"/>
      <c r="R124" s="32">
        <v>46264.0</v>
      </c>
      <c r="S124" s="54"/>
      <c r="T124" s="55"/>
      <c r="U124" s="11" t="s">
        <v>54</v>
      </c>
      <c r="V124" s="56"/>
      <c r="W124" s="12" t="s">
        <v>56</v>
      </c>
      <c r="X124" s="11" t="s">
        <v>54</v>
      </c>
      <c r="Y124" s="54"/>
      <c r="Z124" s="16"/>
      <c r="AA124" s="19"/>
      <c r="AB124" s="54"/>
      <c r="AC124" s="12" t="str">
        <f t="shared" si="2"/>
        <v>RC036M01</v>
      </c>
    </row>
    <row r="125" ht="18.0" customHeight="1">
      <c r="A125" s="11">
        <f t="shared" si="1"/>
        <v>122</v>
      </c>
      <c r="B125" s="12" t="s">
        <v>245</v>
      </c>
      <c r="C125" s="11" t="s">
        <v>351</v>
      </c>
      <c r="D125" s="12" t="s">
        <v>45</v>
      </c>
      <c r="E125" s="12" t="s">
        <v>47</v>
      </c>
      <c r="F125" s="12" t="s">
        <v>407</v>
      </c>
      <c r="G125" s="13" t="s">
        <v>408</v>
      </c>
      <c r="H125" s="11" t="s">
        <v>354</v>
      </c>
      <c r="I125" s="52">
        <v>46316.0</v>
      </c>
      <c r="J125" s="52">
        <v>46317.0</v>
      </c>
      <c r="K125" s="53"/>
      <c r="L125" s="53"/>
      <c r="M125" s="12" t="s">
        <v>409</v>
      </c>
      <c r="N125" s="11" t="s">
        <v>54</v>
      </c>
      <c r="O125" s="11" t="s">
        <v>76</v>
      </c>
      <c r="P125" s="11" t="s">
        <v>251</v>
      </c>
      <c r="Q125" s="54"/>
      <c r="R125" s="32">
        <v>46264.0</v>
      </c>
      <c r="S125" s="54"/>
      <c r="T125" s="55"/>
      <c r="U125" s="11" t="s">
        <v>54</v>
      </c>
      <c r="V125" s="56"/>
      <c r="W125" s="12" t="s">
        <v>56</v>
      </c>
      <c r="X125" s="11" t="s">
        <v>54</v>
      </c>
      <c r="Y125" s="54"/>
      <c r="Z125" s="16"/>
      <c r="AA125" s="19"/>
      <c r="AB125" s="54"/>
      <c r="AC125" s="12" t="str">
        <f t="shared" si="2"/>
        <v>RC041M01</v>
      </c>
    </row>
    <row r="126" ht="18.0" customHeight="1">
      <c r="A126" s="11">
        <f t="shared" si="1"/>
        <v>123</v>
      </c>
      <c r="B126" s="12" t="s">
        <v>245</v>
      </c>
      <c r="C126" s="11" t="s">
        <v>351</v>
      </c>
      <c r="D126" s="12" t="s">
        <v>45</v>
      </c>
      <c r="E126" s="12" t="s">
        <v>47</v>
      </c>
      <c r="F126" s="12" t="s">
        <v>410</v>
      </c>
      <c r="G126" s="13" t="s">
        <v>411</v>
      </c>
      <c r="H126" s="11" t="s">
        <v>354</v>
      </c>
      <c r="I126" s="52">
        <v>46318.0</v>
      </c>
      <c r="J126" s="52">
        <v>46319.0</v>
      </c>
      <c r="K126" s="53"/>
      <c r="L126" s="53"/>
      <c r="M126" s="12" t="s">
        <v>412</v>
      </c>
      <c r="N126" s="11" t="s">
        <v>54</v>
      </c>
      <c r="O126" s="11" t="s">
        <v>85</v>
      </c>
      <c r="P126" s="11" t="s">
        <v>251</v>
      </c>
      <c r="Q126" s="54"/>
      <c r="R126" s="32">
        <v>46264.0</v>
      </c>
      <c r="S126" s="54"/>
      <c r="T126" s="55"/>
      <c r="U126" s="11" t="s">
        <v>54</v>
      </c>
      <c r="V126" s="56"/>
      <c r="W126" s="12" t="s">
        <v>56</v>
      </c>
      <c r="X126" s="11" t="s">
        <v>54</v>
      </c>
      <c r="Y126" s="54"/>
      <c r="Z126" s="16"/>
      <c r="AA126" s="19"/>
      <c r="AB126" s="54"/>
      <c r="AC126" s="12" t="str">
        <f t="shared" si="2"/>
        <v>RC051M01</v>
      </c>
    </row>
    <row r="127" ht="18.0" customHeight="1">
      <c r="A127" s="11">
        <f t="shared" si="1"/>
        <v>124</v>
      </c>
      <c r="B127" s="12" t="s">
        <v>245</v>
      </c>
      <c r="C127" s="11" t="s">
        <v>351</v>
      </c>
      <c r="D127" s="12" t="s">
        <v>45</v>
      </c>
      <c r="E127" s="12" t="s">
        <v>47</v>
      </c>
      <c r="F127" s="12" t="s">
        <v>413</v>
      </c>
      <c r="G127" s="13" t="s">
        <v>414</v>
      </c>
      <c r="H127" s="11" t="s">
        <v>354</v>
      </c>
      <c r="I127" s="52">
        <v>46320.0</v>
      </c>
      <c r="J127" s="52">
        <v>46324.0</v>
      </c>
      <c r="K127" s="53"/>
      <c r="L127" s="53"/>
      <c r="M127" s="12" t="s">
        <v>415</v>
      </c>
      <c r="N127" s="11" t="s">
        <v>54</v>
      </c>
      <c r="O127" s="11" t="s">
        <v>55</v>
      </c>
      <c r="P127" s="11" t="s">
        <v>251</v>
      </c>
      <c r="Q127" s="54"/>
      <c r="R127" s="32">
        <v>46264.0</v>
      </c>
      <c r="S127" s="54"/>
      <c r="T127" s="55"/>
      <c r="U127" s="11" t="s">
        <v>54</v>
      </c>
      <c r="V127" s="56"/>
      <c r="W127" s="12" t="s">
        <v>56</v>
      </c>
      <c r="X127" s="11" t="s">
        <v>82</v>
      </c>
      <c r="Y127" s="54"/>
      <c r="Z127" s="14">
        <v>46268.0</v>
      </c>
      <c r="AA127" s="14">
        <v>46268.0</v>
      </c>
      <c r="AB127" s="54"/>
      <c r="AC127" s="12" t="str">
        <f t="shared" si="2"/>
        <v>RC061M01</v>
      </c>
    </row>
    <row r="128" ht="18.0" customHeight="1">
      <c r="A128" s="11">
        <f t="shared" si="1"/>
        <v>125</v>
      </c>
      <c r="B128" s="12" t="s">
        <v>245</v>
      </c>
      <c r="C128" s="11" t="s">
        <v>351</v>
      </c>
      <c r="D128" s="12" t="s">
        <v>45</v>
      </c>
      <c r="E128" s="12" t="s">
        <v>47</v>
      </c>
      <c r="F128" s="12" t="s">
        <v>416</v>
      </c>
      <c r="G128" s="13" t="s">
        <v>417</v>
      </c>
      <c r="H128" s="11" t="s">
        <v>354</v>
      </c>
      <c r="I128" s="52">
        <v>46325.0</v>
      </c>
      <c r="J128" s="52">
        <v>46327.0</v>
      </c>
      <c r="K128" s="53"/>
      <c r="L128" s="53"/>
      <c r="M128" s="12" t="s">
        <v>418</v>
      </c>
      <c r="N128" s="11" t="s">
        <v>54</v>
      </c>
      <c r="O128" s="11" t="s">
        <v>55</v>
      </c>
      <c r="P128" s="11" t="s">
        <v>251</v>
      </c>
      <c r="Q128" s="54"/>
      <c r="R128" s="32">
        <v>46264.0</v>
      </c>
      <c r="S128" s="54"/>
      <c r="T128" s="55"/>
      <c r="U128" s="11" t="s">
        <v>54</v>
      </c>
      <c r="V128" s="56"/>
      <c r="W128" s="12" t="s">
        <v>56</v>
      </c>
      <c r="X128" s="11" t="s">
        <v>82</v>
      </c>
      <c r="Y128" s="54"/>
      <c r="Z128" s="14">
        <v>46268.0</v>
      </c>
      <c r="AA128" s="19"/>
      <c r="AB128" s="54"/>
      <c r="AC128" s="12" t="str">
        <f t="shared" si="2"/>
        <v>RC062M01</v>
      </c>
    </row>
    <row r="129" ht="18.0" customHeight="1">
      <c r="A129" s="11">
        <f t="shared" si="1"/>
        <v>126</v>
      </c>
      <c r="B129" s="12" t="s">
        <v>245</v>
      </c>
      <c r="C129" s="11" t="s">
        <v>351</v>
      </c>
      <c r="D129" s="12" t="s">
        <v>45</v>
      </c>
      <c r="E129" s="12" t="s">
        <v>47</v>
      </c>
      <c r="F129" s="12" t="s">
        <v>419</v>
      </c>
      <c r="G129" s="13" t="s">
        <v>420</v>
      </c>
      <c r="H129" s="11" t="s">
        <v>354</v>
      </c>
      <c r="I129" s="52">
        <v>46330.0</v>
      </c>
      <c r="J129" s="52">
        <v>46332.0</v>
      </c>
      <c r="K129" s="53"/>
      <c r="L129" s="53"/>
      <c r="M129" s="12" t="s">
        <v>421</v>
      </c>
      <c r="N129" s="11" t="s">
        <v>54</v>
      </c>
      <c r="O129" s="11" t="s">
        <v>55</v>
      </c>
      <c r="P129" s="11" t="s">
        <v>251</v>
      </c>
      <c r="Q129" s="54"/>
      <c r="R129" s="32">
        <v>46264.0</v>
      </c>
      <c r="S129" s="54"/>
      <c r="T129" s="55"/>
      <c r="U129" s="11" t="s">
        <v>54</v>
      </c>
      <c r="V129" s="56"/>
      <c r="W129" s="12" t="s">
        <v>56</v>
      </c>
      <c r="X129" s="11" t="s">
        <v>82</v>
      </c>
      <c r="Y129" s="54"/>
      <c r="Z129" s="14">
        <v>46268.0</v>
      </c>
      <c r="AA129" s="14">
        <v>46268.0</v>
      </c>
      <c r="AB129" s="54"/>
      <c r="AC129" s="12" t="str">
        <f t="shared" si="2"/>
        <v>RC071M01</v>
      </c>
    </row>
    <row r="130" ht="18.0" customHeight="1">
      <c r="A130" s="11">
        <f t="shared" si="1"/>
        <v>127</v>
      </c>
      <c r="B130" s="12" t="s">
        <v>245</v>
      </c>
      <c r="C130" s="11" t="s">
        <v>351</v>
      </c>
      <c r="D130" s="12" t="s">
        <v>45</v>
      </c>
      <c r="E130" s="12" t="s">
        <v>47</v>
      </c>
      <c r="F130" s="12" t="s">
        <v>422</v>
      </c>
      <c r="G130" s="13" t="s">
        <v>423</v>
      </c>
      <c r="H130" s="11" t="s">
        <v>354</v>
      </c>
      <c r="I130" s="52">
        <v>46333.0</v>
      </c>
      <c r="J130" s="52">
        <v>46334.0</v>
      </c>
      <c r="K130" s="53"/>
      <c r="L130" s="53"/>
      <c r="M130" s="12" t="s">
        <v>424</v>
      </c>
      <c r="N130" s="11" t="s">
        <v>54</v>
      </c>
      <c r="O130" s="11" t="s">
        <v>55</v>
      </c>
      <c r="P130" s="11" t="s">
        <v>251</v>
      </c>
      <c r="Q130" s="54"/>
      <c r="R130" s="32">
        <v>46264.0</v>
      </c>
      <c r="S130" s="54"/>
      <c r="T130" s="55"/>
      <c r="U130" s="11" t="s">
        <v>54</v>
      </c>
      <c r="V130" s="56"/>
      <c r="W130" s="12" t="s">
        <v>56</v>
      </c>
      <c r="X130" s="11" t="s">
        <v>82</v>
      </c>
      <c r="Y130" s="54"/>
      <c r="Z130" s="14">
        <v>46268.0</v>
      </c>
      <c r="AA130" s="19"/>
      <c r="AB130" s="54"/>
      <c r="AC130" s="12" t="str">
        <f t="shared" si="2"/>
        <v>RC072M01</v>
      </c>
    </row>
    <row r="131" ht="18.0" customHeight="1">
      <c r="A131" s="11">
        <f t="shared" si="1"/>
        <v>128</v>
      </c>
      <c r="B131" s="12" t="s">
        <v>245</v>
      </c>
      <c r="C131" s="11" t="s">
        <v>351</v>
      </c>
      <c r="D131" s="12" t="s">
        <v>45</v>
      </c>
      <c r="E131" s="12" t="s">
        <v>47</v>
      </c>
      <c r="F131" s="12" t="s">
        <v>425</v>
      </c>
      <c r="G131" s="13" t="s">
        <v>426</v>
      </c>
      <c r="H131" s="11" t="s">
        <v>354</v>
      </c>
      <c r="I131" s="52">
        <v>46337.0</v>
      </c>
      <c r="J131" s="52">
        <v>46338.0</v>
      </c>
      <c r="K131" s="53"/>
      <c r="L131" s="53"/>
      <c r="M131" s="12" t="s">
        <v>427</v>
      </c>
      <c r="N131" s="11" t="s">
        <v>54</v>
      </c>
      <c r="O131" s="11" t="s">
        <v>55</v>
      </c>
      <c r="P131" s="11" t="s">
        <v>251</v>
      </c>
      <c r="Q131" s="54"/>
      <c r="R131" s="32">
        <v>46264.0</v>
      </c>
      <c r="S131" s="54"/>
      <c r="T131" s="55"/>
      <c r="U131" s="11" t="s">
        <v>54</v>
      </c>
      <c r="V131" s="56"/>
      <c r="W131" s="12" t="s">
        <v>56</v>
      </c>
      <c r="X131" s="11" t="s">
        <v>82</v>
      </c>
      <c r="Y131" s="54"/>
      <c r="Z131" s="14">
        <v>46268.0</v>
      </c>
      <c r="AA131" s="19"/>
      <c r="AB131" s="54"/>
      <c r="AC131" s="12" t="str">
        <f t="shared" si="2"/>
        <v>RC072T01</v>
      </c>
    </row>
    <row r="132" ht="18.0" customHeight="1">
      <c r="A132" s="11">
        <f t="shared" si="1"/>
        <v>129</v>
      </c>
      <c r="B132" s="12" t="s">
        <v>245</v>
      </c>
      <c r="C132" s="11" t="s">
        <v>351</v>
      </c>
      <c r="D132" s="12" t="s">
        <v>45</v>
      </c>
      <c r="E132" s="12" t="s">
        <v>47</v>
      </c>
      <c r="F132" s="12" t="s">
        <v>428</v>
      </c>
      <c r="G132" s="13" t="s">
        <v>429</v>
      </c>
      <c r="H132" s="11" t="s">
        <v>354</v>
      </c>
      <c r="I132" s="52">
        <v>46339.0</v>
      </c>
      <c r="J132" s="52">
        <v>46340.0</v>
      </c>
      <c r="K132" s="53"/>
      <c r="L132" s="53"/>
      <c r="M132" s="12" t="s">
        <v>430</v>
      </c>
      <c r="N132" s="11" t="s">
        <v>54</v>
      </c>
      <c r="O132" s="11" t="s">
        <v>55</v>
      </c>
      <c r="P132" s="11" t="s">
        <v>251</v>
      </c>
      <c r="Q132" s="54"/>
      <c r="R132" s="32">
        <v>46264.0</v>
      </c>
      <c r="S132" s="54"/>
      <c r="T132" s="55"/>
      <c r="U132" s="11" t="s">
        <v>54</v>
      </c>
      <c r="V132" s="56"/>
      <c r="W132" s="12" t="s">
        <v>56</v>
      </c>
      <c r="X132" s="11" t="s">
        <v>82</v>
      </c>
      <c r="Y132" s="54"/>
      <c r="Z132" s="14">
        <v>46268.0</v>
      </c>
      <c r="AA132" s="19"/>
      <c r="AB132" s="54"/>
      <c r="AC132" s="12" t="str">
        <f t="shared" si="2"/>
        <v>RC072T02</v>
      </c>
    </row>
    <row r="133" ht="18.0" customHeight="1">
      <c r="A133" s="11">
        <f t="shared" si="1"/>
        <v>130</v>
      </c>
      <c r="B133" s="12" t="s">
        <v>245</v>
      </c>
      <c r="C133" s="11" t="s">
        <v>351</v>
      </c>
      <c r="D133" s="12" t="s">
        <v>45</v>
      </c>
      <c r="E133" s="12" t="s">
        <v>47</v>
      </c>
      <c r="F133" s="12" t="s">
        <v>431</v>
      </c>
      <c r="G133" s="13" t="s">
        <v>432</v>
      </c>
      <c r="H133" s="11" t="s">
        <v>354</v>
      </c>
      <c r="I133" s="52">
        <v>46341.0</v>
      </c>
      <c r="J133" s="52">
        <v>46344.0</v>
      </c>
      <c r="K133" s="53"/>
      <c r="L133" s="53"/>
      <c r="M133" s="12" t="s">
        <v>433</v>
      </c>
      <c r="N133" s="11" t="s">
        <v>54</v>
      </c>
      <c r="O133" s="11" t="s">
        <v>55</v>
      </c>
      <c r="P133" s="11" t="s">
        <v>251</v>
      </c>
      <c r="Q133" s="54"/>
      <c r="R133" s="32">
        <v>46264.0</v>
      </c>
      <c r="S133" s="54"/>
      <c r="T133" s="55"/>
      <c r="U133" s="11" t="s">
        <v>54</v>
      </c>
      <c r="V133" s="56"/>
      <c r="W133" s="12" t="s">
        <v>56</v>
      </c>
      <c r="X133" s="11" t="s">
        <v>82</v>
      </c>
      <c r="Y133" s="54"/>
      <c r="Z133" s="14">
        <v>46268.0</v>
      </c>
      <c r="AA133" s="19"/>
      <c r="AB133" s="54"/>
      <c r="AC133" s="12" t="str">
        <f t="shared" si="2"/>
        <v>RC073M01</v>
      </c>
    </row>
    <row r="134" ht="18.0" customHeight="1">
      <c r="A134" s="11">
        <f t="shared" si="1"/>
        <v>131</v>
      </c>
      <c r="B134" s="12" t="s">
        <v>245</v>
      </c>
      <c r="C134" s="11" t="s">
        <v>351</v>
      </c>
      <c r="D134" s="12" t="s">
        <v>45</v>
      </c>
      <c r="E134" s="12" t="s">
        <v>47</v>
      </c>
      <c r="F134" s="12" t="s">
        <v>434</v>
      </c>
      <c r="G134" s="13" t="s">
        <v>435</v>
      </c>
      <c r="H134" s="11" t="s">
        <v>354</v>
      </c>
      <c r="I134" s="52">
        <v>46345.0</v>
      </c>
      <c r="J134" s="52">
        <v>46346.0</v>
      </c>
      <c r="K134" s="53"/>
      <c r="L134" s="53"/>
      <c r="M134" s="12" t="s">
        <v>436</v>
      </c>
      <c r="N134" s="11" t="s">
        <v>54</v>
      </c>
      <c r="O134" s="11" t="s">
        <v>55</v>
      </c>
      <c r="P134" s="11" t="s">
        <v>251</v>
      </c>
      <c r="Q134" s="54"/>
      <c r="R134" s="32">
        <v>46264.0</v>
      </c>
      <c r="S134" s="54"/>
      <c r="T134" s="55"/>
      <c r="U134" s="11" t="s">
        <v>54</v>
      </c>
      <c r="V134" s="56"/>
      <c r="W134" s="12" t="s">
        <v>56</v>
      </c>
      <c r="X134" s="11" t="s">
        <v>82</v>
      </c>
      <c r="Y134" s="54"/>
      <c r="Z134" s="14">
        <v>46268.0</v>
      </c>
      <c r="AA134" s="19"/>
      <c r="AB134" s="54"/>
      <c r="AC134" s="12" t="str">
        <f t="shared" si="2"/>
        <v>RC074M01</v>
      </c>
    </row>
    <row r="135" ht="18.0" customHeight="1">
      <c r="A135" s="11">
        <f t="shared" si="1"/>
        <v>132</v>
      </c>
      <c r="B135" s="12" t="s">
        <v>245</v>
      </c>
      <c r="C135" s="11" t="s">
        <v>351</v>
      </c>
      <c r="D135" s="12" t="s">
        <v>45</v>
      </c>
      <c r="E135" s="12" t="s">
        <v>47</v>
      </c>
      <c r="F135" s="12" t="s">
        <v>438</v>
      </c>
      <c r="G135" s="13" t="s">
        <v>439</v>
      </c>
      <c r="H135" s="11" t="s">
        <v>354</v>
      </c>
      <c r="I135" s="52">
        <v>46347.0</v>
      </c>
      <c r="J135" s="52">
        <v>46348.0</v>
      </c>
      <c r="K135" s="53"/>
      <c r="L135" s="53"/>
      <c r="M135" s="12" t="s">
        <v>440</v>
      </c>
      <c r="N135" s="11" t="s">
        <v>54</v>
      </c>
      <c r="O135" s="11" t="s">
        <v>55</v>
      </c>
      <c r="P135" s="11" t="s">
        <v>251</v>
      </c>
      <c r="Q135" s="54"/>
      <c r="R135" s="32">
        <v>46264.0</v>
      </c>
      <c r="S135" s="54"/>
      <c r="T135" s="55"/>
      <c r="U135" s="11" t="s">
        <v>54</v>
      </c>
      <c r="V135" s="56"/>
      <c r="W135" s="12" t="s">
        <v>56</v>
      </c>
      <c r="X135" s="11" t="s">
        <v>82</v>
      </c>
      <c r="Y135" s="54"/>
      <c r="Z135" s="14">
        <v>46268.0</v>
      </c>
      <c r="AA135" s="19"/>
      <c r="AB135" s="54"/>
      <c r="AC135" s="12" t="str">
        <f t="shared" si="2"/>
        <v>RC074T01</v>
      </c>
    </row>
    <row r="136" ht="18.0" customHeight="1">
      <c r="A136" s="11">
        <f t="shared" si="1"/>
        <v>133</v>
      </c>
      <c r="B136" s="12" t="s">
        <v>245</v>
      </c>
      <c r="C136" s="11" t="s">
        <v>351</v>
      </c>
      <c r="D136" s="12" t="s">
        <v>45</v>
      </c>
      <c r="E136" s="12" t="s">
        <v>47</v>
      </c>
      <c r="F136" s="12" t="s">
        <v>441</v>
      </c>
      <c r="G136" s="13" t="s">
        <v>442</v>
      </c>
      <c r="H136" s="11" t="s">
        <v>354</v>
      </c>
      <c r="I136" s="52">
        <v>46368.0</v>
      </c>
      <c r="J136" s="52">
        <v>46372.0</v>
      </c>
      <c r="K136" s="53"/>
      <c r="L136" s="53"/>
      <c r="M136" s="12" t="s">
        <v>443</v>
      </c>
      <c r="N136" s="11" t="s">
        <v>54</v>
      </c>
      <c r="O136" s="11" t="s">
        <v>85</v>
      </c>
      <c r="P136" s="11" t="s">
        <v>251</v>
      </c>
      <c r="Q136" s="54"/>
      <c r="R136" s="32">
        <v>46264.0</v>
      </c>
      <c r="S136" s="54"/>
      <c r="T136" s="55"/>
      <c r="U136" s="11" t="s">
        <v>54</v>
      </c>
      <c r="V136" s="56"/>
      <c r="W136" s="12" t="s">
        <v>56</v>
      </c>
      <c r="X136" s="11" t="s">
        <v>54</v>
      </c>
      <c r="Y136" s="54"/>
      <c r="Z136" s="16"/>
      <c r="AA136" s="14"/>
      <c r="AB136" s="54"/>
      <c r="AC136" s="12" t="str">
        <f t="shared" si="2"/>
        <v>RC081M01</v>
      </c>
    </row>
    <row r="137" ht="18.0" customHeight="1">
      <c r="A137" s="11">
        <f t="shared" si="1"/>
        <v>134</v>
      </c>
      <c r="B137" s="12" t="s">
        <v>245</v>
      </c>
      <c r="C137" s="11" t="s">
        <v>444</v>
      </c>
      <c r="D137" s="12" t="s">
        <v>45</v>
      </c>
      <c r="E137" s="12" t="s">
        <v>47</v>
      </c>
      <c r="F137" s="12" t="s">
        <v>445</v>
      </c>
      <c r="G137" s="13" t="s">
        <v>446</v>
      </c>
      <c r="H137" s="11" t="s">
        <v>447</v>
      </c>
      <c r="I137" s="52">
        <v>46341.0</v>
      </c>
      <c r="J137" s="52">
        <v>46346.0</v>
      </c>
      <c r="K137" s="53"/>
      <c r="L137" s="53"/>
      <c r="M137" s="12" t="s">
        <v>448</v>
      </c>
      <c r="N137" s="11" t="s">
        <v>54</v>
      </c>
      <c r="O137" s="11" t="s">
        <v>55</v>
      </c>
      <c r="P137" s="11" t="s">
        <v>251</v>
      </c>
      <c r="Q137" s="54"/>
      <c r="R137" s="32">
        <v>46264.0</v>
      </c>
      <c r="S137" s="54"/>
      <c r="T137" s="55"/>
      <c r="U137" s="11" t="s">
        <v>54</v>
      </c>
      <c r="V137" s="56"/>
      <c r="W137" s="12" t="s">
        <v>56</v>
      </c>
      <c r="X137" s="11" t="s">
        <v>82</v>
      </c>
      <c r="Y137" s="54"/>
      <c r="Z137" s="14">
        <v>46268.0</v>
      </c>
      <c r="AA137" s="14">
        <v>46268.0</v>
      </c>
      <c r="AB137" s="54"/>
      <c r="AC137" s="12" t="str">
        <f t="shared" si="2"/>
        <v>RB011M01</v>
      </c>
    </row>
    <row r="138" ht="18.0" customHeight="1">
      <c r="A138" s="11">
        <f t="shared" si="1"/>
        <v>135</v>
      </c>
      <c r="B138" s="12" t="s">
        <v>245</v>
      </c>
      <c r="C138" s="11" t="s">
        <v>444</v>
      </c>
      <c r="D138" s="12" t="s">
        <v>45</v>
      </c>
      <c r="E138" s="12" t="s">
        <v>47</v>
      </c>
      <c r="F138" s="12" t="s">
        <v>449</v>
      </c>
      <c r="G138" s="13" t="s">
        <v>450</v>
      </c>
      <c r="H138" s="11" t="s">
        <v>447</v>
      </c>
      <c r="I138" s="52">
        <v>46347.0</v>
      </c>
      <c r="J138" s="52">
        <v>46352.0</v>
      </c>
      <c r="K138" s="53"/>
      <c r="L138" s="53"/>
      <c r="M138" s="12" t="s">
        <v>451</v>
      </c>
      <c r="N138" s="11" t="s">
        <v>54</v>
      </c>
      <c r="O138" s="11" t="s">
        <v>55</v>
      </c>
      <c r="P138" s="11" t="s">
        <v>251</v>
      </c>
      <c r="Q138" s="54"/>
      <c r="R138" s="32">
        <v>46264.0</v>
      </c>
      <c r="S138" s="54"/>
      <c r="T138" s="55"/>
      <c r="U138" s="11" t="s">
        <v>54</v>
      </c>
      <c r="V138" s="56"/>
      <c r="W138" s="12" t="s">
        <v>56</v>
      </c>
      <c r="X138" s="11" t="s">
        <v>82</v>
      </c>
      <c r="Y138" s="54"/>
      <c r="Z138" s="14">
        <v>46268.0</v>
      </c>
      <c r="AA138" s="14">
        <v>46268.0</v>
      </c>
      <c r="AB138" s="54"/>
      <c r="AC138" s="12" t="str">
        <f t="shared" si="2"/>
        <v>RB012M01</v>
      </c>
    </row>
    <row r="139" ht="18.0" customHeight="1">
      <c r="A139" s="11">
        <f t="shared" si="1"/>
        <v>136</v>
      </c>
      <c r="B139" s="12" t="s">
        <v>245</v>
      </c>
      <c r="C139" s="11" t="s">
        <v>444</v>
      </c>
      <c r="D139" s="12" t="s">
        <v>45</v>
      </c>
      <c r="E139" s="12" t="s">
        <v>47</v>
      </c>
      <c r="F139" s="12" t="s">
        <v>452</v>
      </c>
      <c r="G139" s="13" t="s">
        <v>453</v>
      </c>
      <c r="H139" s="11" t="s">
        <v>447</v>
      </c>
      <c r="I139" s="52">
        <v>46347.0</v>
      </c>
      <c r="J139" s="52">
        <v>46352.0</v>
      </c>
      <c r="K139" s="53"/>
      <c r="L139" s="53"/>
      <c r="M139" s="12" t="s">
        <v>454</v>
      </c>
      <c r="N139" s="11" t="s">
        <v>54</v>
      </c>
      <c r="O139" s="11" t="s">
        <v>55</v>
      </c>
      <c r="P139" s="11" t="s">
        <v>251</v>
      </c>
      <c r="Q139" s="54"/>
      <c r="R139" s="32">
        <v>46264.0</v>
      </c>
      <c r="S139" s="54"/>
      <c r="T139" s="55"/>
      <c r="U139" s="11" t="s">
        <v>54</v>
      </c>
      <c r="V139" s="56"/>
      <c r="W139" s="12" t="s">
        <v>56</v>
      </c>
      <c r="X139" s="11" t="s">
        <v>82</v>
      </c>
      <c r="Y139" s="54"/>
      <c r="Z139" s="14">
        <v>46268.0</v>
      </c>
      <c r="AA139" s="14">
        <v>46268.0</v>
      </c>
      <c r="AB139" s="54"/>
      <c r="AC139" s="12" t="str">
        <f t="shared" si="2"/>
        <v>RB012T01</v>
      </c>
    </row>
    <row r="140" ht="18.0" customHeight="1">
      <c r="A140" s="11">
        <f t="shared" si="1"/>
        <v>137</v>
      </c>
      <c r="B140" s="12" t="s">
        <v>245</v>
      </c>
      <c r="C140" s="11" t="s">
        <v>444</v>
      </c>
      <c r="D140" s="12" t="s">
        <v>45</v>
      </c>
      <c r="E140" s="12" t="s">
        <v>47</v>
      </c>
      <c r="F140" s="12" t="s">
        <v>455</v>
      </c>
      <c r="G140" s="13" t="s">
        <v>456</v>
      </c>
      <c r="H140" s="11" t="s">
        <v>457</v>
      </c>
      <c r="I140" s="52">
        <v>46382.0</v>
      </c>
      <c r="J140" s="52">
        <v>46383.0</v>
      </c>
      <c r="K140" s="53"/>
      <c r="L140" s="53"/>
      <c r="M140" s="12" t="s">
        <v>458</v>
      </c>
      <c r="N140" s="11" t="s">
        <v>82</v>
      </c>
      <c r="O140" s="11" t="s">
        <v>85</v>
      </c>
      <c r="P140" s="11" t="s">
        <v>251</v>
      </c>
      <c r="Q140" s="54"/>
      <c r="R140" s="32">
        <v>46264.0</v>
      </c>
      <c r="S140" s="54"/>
      <c r="T140" s="55"/>
      <c r="U140" s="11" t="s">
        <v>54</v>
      </c>
      <c r="V140" s="56"/>
      <c r="W140" s="12" t="s">
        <v>56</v>
      </c>
      <c r="X140" s="11" t="s">
        <v>82</v>
      </c>
      <c r="Y140" s="11" t="s">
        <v>54</v>
      </c>
      <c r="Z140" s="14">
        <v>46268.0</v>
      </c>
      <c r="AA140" s="14">
        <v>46268.0</v>
      </c>
      <c r="AB140" s="54"/>
      <c r="AC140" s="12" t="str">
        <f t="shared" si="2"/>
        <v>RB012R01</v>
      </c>
    </row>
    <row r="141" ht="18.0" customHeight="1">
      <c r="A141" s="11">
        <f t="shared" si="1"/>
        <v>138</v>
      </c>
      <c r="B141" s="12" t="s">
        <v>245</v>
      </c>
      <c r="C141" s="11" t="s">
        <v>444</v>
      </c>
      <c r="D141" s="12" t="s">
        <v>45</v>
      </c>
      <c r="E141" s="12" t="s">
        <v>47</v>
      </c>
      <c r="F141" s="12" t="s">
        <v>459</v>
      </c>
      <c r="G141" s="13" t="s">
        <v>460</v>
      </c>
      <c r="H141" s="11" t="s">
        <v>447</v>
      </c>
      <c r="I141" s="52">
        <v>46359.0</v>
      </c>
      <c r="J141" s="52">
        <v>46362.0</v>
      </c>
      <c r="K141" s="53"/>
      <c r="L141" s="53"/>
      <c r="M141" s="12" t="s">
        <v>461</v>
      </c>
      <c r="N141" s="11" t="s">
        <v>54</v>
      </c>
      <c r="O141" s="11" t="s">
        <v>55</v>
      </c>
      <c r="P141" s="11" t="s">
        <v>251</v>
      </c>
      <c r="Q141" s="54"/>
      <c r="R141" s="32">
        <v>46264.0</v>
      </c>
      <c r="S141" s="54"/>
      <c r="T141" s="55"/>
      <c r="U141" s="11" t="s">
        <v>54</v>
      </c>
      <c r="V141" s="56"/>
      <c r="W141" s="12" t="s">
        <v>56</v>
      </c>
      <c r="X141" s="11" t="s">
        <v>82</v>
      </c>
      <c r="Y141" s="54"/>
      <c r="Z141" s="14">
        <v>46268.0</v>
      </c>
      <c r="AA141" s="32">
        <v>46268.0</v>
      </c>
      <c r="AB141" s="54"/>
      <c r="AC141" s="12" t="str">
        <f t="shared" si="2"/>
        <v>RB013M01</v>
      </c>
    </row>
    <row r="142" ht="18.0" customHeight="1">
      <c r="A142" s="11">
        <f t="shared" si="1"/>
        <v>139</v>
      </c>
      <c r="B142" s="12" t="s">
        <v>245</v>
      </c>
      <c r="C142" s="11" t="s">
        <v>444</v>
      </c>
      <c r="D142" s="12" t="s">
        <v>45</v>
      </c>
      <c r="E142" s="12" t="s">
        <v>47</v>
      </c>
      <c r="F142" s="12" t="s">
        <v>462</v>
      </c>
      <c r="G142" s="13" t="s">
        <v>463</v>
      </c>
      <c r="H142" s="11" t="s">
        <v>447</v>
      </c>
      <c r="I142" s="52">
        <v>46365.0</v>
      </c>
      <c r="J142" s="52">
        <v>46366.0</v>
      </c>
      <c r="K142" s="53"/>
      <c r="L142" s="53"/>
      <c r="M142" s="12" t="s">
        <v>464</v>
      </c>
      <c r="N142" s="11" t="s">
        <v>54</v>
      </c>
      <c r="O142" s="11" t="s">
        <v>55</v>
      </c>
      <c r="P142" s="11" t="s">
        <v>251</v>
      </c>
      <c r="Q142" s="54"/>
      <c r="R142" s="32">
        <v>46264.0</v>
      </c>
      <c r="S142" s="54"/>
      <c r="T142" s="55"/>
      <c r="U142" s="11" t="s">
        <v>54</v>
      </c>
      <c r="V142" s="56"/>
      <c r="W142" s="12" t="s">
        <v>56</v>
      </c>
      <c r="X142" s="11" t="s">
        <v>82</v>
      </c>
      <c r="Y142" s="54"/>
      <c r="Z142" s="14">
        <v>46268.0</v>
      </c>
      <c r="AA142" s="32">
        <v>46268.0</v>
      </c>
      <c r="AB142" s="54"/>
      <c r="AC142" s="12" t="str">
        <f t="shared" si="2"/>
        <v>RB014M01</v>
      </c>
    </row>
    <row r="143" ht="18.0" customHeight="1">
      <c r="A143" s="11">
        <f t="shared" si="1"/>
        <v>140</v>
      </c>
      <c r="B143" s="12" t="s">
        <v>245</v>
      </c>
      <c r="C143" s="11" t="s">
        <v>444</v>
      </c>
      <c r="D143" s="12" t="s">
        <v>45</v>
      </c>
      <c r="E143" s="12" t="s">
        <v>47</v>
      </c>
      <c r="F143" s="12" t="s">
        <v>465</v>
      </c>
      <c r="G143" s="13" t="s">
        <v>466</v>
      </c>
      <c r="H143" s="11" t="s">
        <v>447</v>
      </c>
      <c r="I143" s="52">
        <v>46367.0</v>
      </c>
      <c r="J143" s="52">
        <v>46368.0</v>
      </c>
      <c r="K143" s="53"/>
      <c r="L143" s="53"/>
      <c r="M143" s="12" t="s">
        <v>467</v>
      </c>
      <c r="N143" s="11" t="s">
        <v>82</v>
      </c>
      <c r="O143" s="11" t="s">
        <v>55</v>
      </c>
      <c r="P143" s="11" t="s">
        <v>251</v>
      </c>
      <c r="Q143" s="54"/>
      <c r="R143" s="32">
        <v>46264.0</v>
      </c>
      <c r="S143" s="54"/>
      <c r="T143" s="55"/>
      <c r="U143" s="11" t="s">
        <v>54</v>
      </c>
      <c r="V143" s="56"/>
      <c r="W143" s="12" t="s">
        <v>56</v>
      </c>
      <c r="X143" s="11" t="s">
        <v>82</v>
      </c>
      <c r="Y143" s="54"/>
      <c r="Z143" s="14">
        <v>46268.0</v>
      </c>
      <c r="AA143" s="19"/>
      <c r="AB143" s="54"/>
      <c r="AC143" s="12" t="str">
        <f t="shared" si="2"/>
        <v>RB014P01</v>
      </c>
    </row>
    <row r="144" ht="18.0" customHeight="1">
      <c r="A144" s="11">
        <f t="shared" si="1"/>
        <v>141</v>
      </c>
      <c r="B144" s="12" t="s">
        <v>245</v>
      </c>
      <c r="C144" s="11" t="s">
        <v>444</v>
      </c>
      <c r="D144" s="12" t="s">
        <v>45</v>
      </c>
      <c r="E144" s="12" t="s">
        <v>47</v>
      </c>
      <c r="F144" s="12" t="s">
        <v>468</v>
      </c>
      <c r="G144" s="13" t="s">
        <v>469</v>
      </c>
      <c r="H144" s="11" t="s">
        <v>457</v>
      </c>
      <c r="I144" s="52">
        <v>46386.0</v>
      </c>
      <c r="J144" s="52">
        <v>46387.0</v>
      </c>
      <c r="K144" s="53"/>
      <c r="L144" s="53"/>
      <c r="M144" s="12" t="s">
        <v>470</v>
      </c>
      <c r="N144" s="11" t="s">
        <v>82</v>
      </c>
      <c r="O144" s="11" t="s">
        <v>85</v>
      </c>
      <c r="P144" s="11" t="s">
        <v>251</v>
      </c>
      <c r="Q144" s="54"/>
      <c r="R144" s="32">
        <v>46264.0</v>
      </c>
      <c r="S144" s="54"/>
      <c r="T144" s="55"/>
      <c r="U144" s="11" t="s">
        <v>54</v>
      </c>
      <c r="V144" s="56"/>
      <c r="W144" s="12" t="s">
        <v>56</v>
      </c>
      <c r="X144" s="11" t="s">
        <v>82</v>
      </c>
      <c r="Y144" s="11" t="s">
        <v>54</v>
      </c>
      <c r="Z144" s="14">
        <v>46268.0</v>
      </c>
      <c r="AA144" s="19"/>
      <c r="AB144" s="54"/>
      <c r="AC144" s="12" t="str">
        <f t="shared" si="2"/>
        <v>RB014R01</v>
      </c>
    </row>
    <row r="145" ht="18.0" customHeight="1">
      <c r="A145" s="11">
        <f t="shared" si="1"/>
        <v>142</v>
      </c>
      <c r="B145" s="12" t="s">
        <v>245</v>
      </c>
      <c r="C145" s="11" t="s">
        <v>444</v>
      </c>
      <c r="D145" s="12" t="s">
        <v>45</v>
      </c>
      <c r="E145" s="12" t="s">
        <v>47</v>
      </c>
      <c r="F145" s="12" t="s">
        <v>471</v>
      </c>
      <c r="G145" s="13" t="s">
        <v>472</v>
      </c>
      <c r="H145" s="11" t="s">
        <v>447</v>
      </c>
      <c r="I145" s="52">
        <v>46369.0</v>
      </c>
      <c r="J145" s="52">
        <v>46372.0</v>
      </c>
      <c r="K145" s="53"/>
      <c r="L145" s="53"/>
      <c r="M145" s="12" t="s">
        <v>473</v>
      </c>
      <c r="N145" s="11" t="s">
        <v>54</v>
      </c>
      <c r="O145" s="11" t="s">
        <v>76</v>
      </c>
      <c r="P145" s="11" t="s">
        <v>251</v>
      </c>
      <c r="Q145" s="54"/>
      <c r="R145" s="32">
        <v>46264.0</v>
      </c>
      <c r="S145" s="54"/>
      <c r="T145" s="55"/>
      <c r="U145" s="11" t="s">
        <v>54</v>
      </c>
      <c r="V145" s="56"/>
      <c r="W145" s="12" t="s">
        <v>56</v>
      </c>
      <c r="X145" s="11" t="s">
        <v>82</v>
      </c>
      <c r="Y145" s="54"/>
      <c r="Z145" s="14">
        <v>46268.0</v>
      </c>
      <c r="AA145" s="32">
        <v>46268.0</v>
      </c>
      <c r="AB145" s="54"/>
      <c r="AC145" s="12" t="str">
        <f t="shared" si="2"/>
        <v>RB015M01</v>
      </c>
    </row>
    <row r="146" ht="18.0" customHeight="1">
      <c r="A146" s="11">
        <f t="shared" si="1"/>
        <v>143</v>
      </c>
      <c r="B146" s="12" t="s">
        <v>245</v>
      </c>
      <c r="C146" s="11" t="s">
        <v>444</v>
      </c>
      <c r="D146" s="12" t="s">
        <v>45</v>
      </c>
      <c r="E146" s="12" t="s">
        <v>47</v>
      </c>
      <c r="F146" s="12" t="s">
        <v>474</v>
      </c>
      <c r="G146" s="13" t="s">
        <v>475</v>
      </c>
      <c r="H146" s="11" t="s">
        <v>447</v>
      </c>
      <c r="I146" s="52">
        <v>46373.0</v>
      </c>
      <c r="J146" s="52">
        <v>46374.0</v>
      </c>
      <c r="K146" s="53"/>
      <c r="L146" s="53"/>
      <c r="M146" s="12" t="s">
        <v>476</v>
      </c>
      <c r="N146" s="11" t="s">
        <v>54</v>
      </c>
      <c r="O146" s="11" t="s">
        <v>76</v>
      </c>
      <c r="P146" s="11" t="s">
        <v>251</v>
      </c>
      <c r="Q146" s="54"/>
      <c r="R146" s="32">
        <v>46264.0</v>
      </c>
      <c r="S146" s="54"/>
      <c r="T146" s="55"/>
      <c r="U146" s="11" t="s">
        <v>54</v>
      </c>
      <c r="V146" s="56"/>
      <c r="W146" s="12" t="s">
        <v>56</v>
      </c>
      <c r="X146" s="11" t="s">
        <v>82</v>
      </c>
      <c r="Y146" s="54"/>
      <c r="Z146" s="14">
        <v>46268.0</v>
      </c>
      <c r="AA146" s="14">
        <v>46268.0</v>
      </c>
      <c r="AB146" s="54"/>
      <c r="AC146" s="12" t="str">
        <f t="shared" si="2"/>
        <v>RB016M01</v>
      </c>
    </row>
    <row r="147" ht="18.0" customHeight="1">
      <c r="A147" s="11">
        <f t="shared" si="1"/>
        <v>144</v>
      </c>
      <c r="B147" s="12" t="s">
        <v>245</v>
      </c>
      <c r="C147" s="11" t="s">
        <v>444</v>
      </c>
      <c r="D147" s="12" t="s">
        <v>45</v>
      </c>
      <c r="E147" s="12" t="s">
        <v>47</v>
      </c>
      <c r="F147" s="12" t="s">
        <v>477</v>
      </c>
      <c r="G147" s="13" t="s">
        <v>478</v>
      </c>
      <c r="H147" s="11" t="s">
        <v>447</v>
      </c>
      <c r="I147" s="52">
        <v>46375.0</v>
      </c>
      <c r="J147" s="52">
        <v>46376.0</v>
      </c>
      <c r="K147" s="53"/>
      <c r="L147" s="53"/>
      <c r="M147" s="12" t="s">
        <v>479</v>
      </c>
      <c r="N147" s="11" t="s">
        <v>54</v>
      </c>
      <c r="O147" s="11" t="s">
        <v>76</v>
      </c>
      <c r="P147" s="11" t="s">
        <v>251</v>
      </c>
      <c r="Q147" s="54"/>
      <c r="R147" s="32">
        <v>46264.0</v>
      </c>
      <c r="S147" s="54"/>
      <c r="T147" s="55"/>
      <c r="U147" s="11" t="s">
        <v>54</v>
      </c>
      <c r="V147" s="56"/>
      <c r="W147" s="12" t="s">
        <v>56</v>
      </c>
      <c r="X147" s="11" t="s">
        <v>82</v>
      </c>
      <c r="Y147" s="54"/>
      <c r="Z147" s="14">
        <v>46268.0</v>
      </c>
      <c r="AA147" s="14">
        <v>46268.0</v>
      </c>
      <c r="AB147" s="54"/>
      <c r="AC147" s="12" t="str">
        <f t="shared" si="2"/>
        <v>RB017M01</v>
      </c>
    </row>
    <row r="148" ht="18.0" customHeight="1">
      <c r="A148" s="11">
        <f t="shared" si="1"/>
        <v>145</v>
      </c>
      <c r="B148" s="12" t="s">
        <v>245</v>
      </c>
      <c r="C148" s="11" t="s">
        <v>444</v>
      </c>
      <c r="D148" s="12" t="s">
        <v>45</v>
      </c>
      <c r="E148" s="12" t="s">
        <v>47</v>
      </c>
      <c r="F148" s="12" t="s">
        <v>482</v>
      </c>
      <c r="G148" s="13" t="s">
        <v>483</v>
      </c>
      <c r="H148" s="11" t="s">
        <v>447</v>
      </c>
      <c r="I148" s="52">
        <v>46379.0</v>
      </c>
      <c r="J148" s="52">
        <v>46382.0</v>
      </c>
      <c r="K148" s="53"/>
      <c r="L148" s="53"/>
      <c r="M148" s="12" t="s">
        <v>484</v>
      </c>
      <c r="N148" s="11" t="s">
        <v>54</v>
      </c>
      <c r="O148" s="11" t="s">
        <v>76</v>
      </c>
      <c r="P148" s="11" t="s">
        <v>251</v>
      </c>
      <c r="Q148" s="54"/>
      <c r="R148" s="32">
        <v>46264.0</v>
      </c>
      <c r="S148" s="54"/>
      <c r="T148" s="55"/>
      <c r="U148" s="11" t="s">
        <v>54</v>
      </c>
      <c r="V148" s="56"/>
      <c r="W148" s="12" t="s">
        <v>56</v>
      </c>
      <c r="X148" s="11" t="s">
        <v>82</v>
      </c>
      <c r="Y148" s="54"/>
      <c r="Z148" s="14">
        <v>46268.0</v>
      </c>
      <c r="AA148" s="32">
        <v>46268.0</v>
      </c>
      <c r="AB148" s="54"/>
      <c r="AC148" s="12" t="str">
        <f t="shared" si="2"/>
        <v>RB018M01</v>
      </c>
    </row>
    <row r="149" ht="18.0" customHeight="1">
      <c r="A149" s="11">
        <f t="shared" si="1"/>
        <v>146</v>
      </c>
      <c r="B149" s="12" t="s">
        <v>245</v>
      </c>
      <c r="C149" s="11" t="s">
        <v>444</v>
      </c>
      <c r="D149" s="12" t="s">
        <v>45</v>
      </c>
      <c r="E149" s="12" t="s">
        <v>47</v>
      </c>
      <c r="F149" s="12" t="s">
        <v>486</v>
      </c>
      <c r="G149" s="13" t="s">
        <v>487</v>
      </c>
      <c r="H149" s="11" t="s">
        <v>447</v>
      </c>
      <c r="I149" s="52">
        <v>46383.0</v>
      </c>
      <c r="J149" s="52">
        <v>46386.0</v>
      </c>
      <c r="K149" s="53"/>
      <c r="L149" s="53"/>
      <c r="M149" s="12" t="s">
        <v>488</v>
      </c>
      <c r="N149" s="11" t="s">
        <v>54</v>
      </c>
      <c r="O149" s="11" t="s">
        <v>76</v>
      </c>
      <c r="P149" s="11" t="s">
        <v>251</v>
      </c>
      <c r="Q149" s="54"/>
      <c r="R149" s="32">
        <v>46264.0</v>
      </c>
      <c r="S149" s="54"/>
      <c r="T149" s="55"/>
      <c r="U149" s="11" t="s">
        <v>54</v>
      </c>
      <c r="V149" s="56"/>
      <c r="W149" s="12" t="s">
        <v>56</v>
      </c>
      <c r="X149" s="11" t="s">
        <v>82</v>
      </c>
      <c r="Y149" s="54"/>
      <c r="Z149" s="14">
        <v>46268.0</v>
      </c>
      <c r="AA149" s="19"/>
      <c r="AB149" s="54"/>
      <c r="AC149" s="12" t="str">
        <f t="shared" si="2"/>
        <v>RB019M01</v>
      </c>
    </row>
    <row r="150" ht="18.0" customHeight="1">
      <c r="A150" s="11">
        <f t="shared" si="1"/>
        <v>147</v>
      </c>
      <c r="B150" s="12" t="s">
        <v>245</v>
      </c>
      <c r="C150" s="11" t="s">
        <v>444</v>
      </c>
      <c r="D150" s="12" t="s">
        <v>45</v>
      </c>
      <c r="E150" s="12" t="s">
        <v>47</v>
      </c>
      <c r="F150" s="12" t="s">
        <v>489</v>
      </c>
      <c r="G150" s="13" t="s">
        <v>490</v>
      </c>
      <c r="H150" s="11" t="s">
        <v>447</v>
      </c>
      <c r="I150" s="52">
        <v>46387.0</v>
      </c>
      <c r="J150" s="52">
        <v>46387.0</v>
      </c>
      <c r="K150" s="53"/>
      <c r="L150" s="53"/>
      <c r="M150" s="12" t="s">
        <v>491</v>
      </c>
      <c r="N150" s="11" t="s">
        <v>54</v>
      </c>
      <c r="O150" s="11" t="s">
        <v>76</v>
      </c>
      <c r="P150" s="11" t="s">
        <v>251</v>
      </c>
      <c r="Q150" s="54"/>
      <c r="R150" s="32">
        <v>46264.0</v>
      </c>
      <c r="S150" s="54"/>
      <c r="T150" s="55"/>
      <c r="U150" s="11" t="s">
        <v>54</v>
      </c>
      <c r="V150" s="56"/>
      <c r="W150" s="12" t="s">
        <v>56</v>
      </c>
      <c r="X150" s="11" t="s">
        <v>82</v>
      </c>
      <c r="Y150" s="54"/>
      <c r="Z150" s="14">
        <v>46268.0</v>
      </c>
      <c r="AA150" s="19"/>
      <c r="AB150" s="54"/>
      <c r="AC150" s="12" t="str">
        <f t="shared" si="2"/>
        <v>RB019T01</v>
      </c>
    </row>
    <row r="151" ht="18.0" customHeight="1">
      <c r="A151" s="11">
        <f t="shared" si="1"/>
        <v>148</v>
      </c>
      <c r="B151" s="12" t="s">
        <v>245</v>
      </c>
      <c r="C151" s="11" t="s">
        <v>444</v>
      </c>
      <c r="D151" s="12" t="s">
        <v>45</v>
      </c>
      <c r="E151" s="12" t="s">
        <v>47</v>
      </c>
      <c r="F151" s="12" t="s">
        <v>492</v>
      </c>
      <c r="G151" s="13" t="s">
        <v>493</v>
      </c>
      <c r="H151" s="11" t="s">
        <v>447</v>
      </c>
      <c r="I151" s="52">
        <v>46341.0</v>
      </c>
      <c r="J151" s="52">
        <v>46346.0</v>
      </c>
      <c r="K151" s="53"/>
      <c r="L151" s="53"/>
      <c r="M151" s="12" t="s">
        <v>494</v>
      </c>
      <c r="N151" s="11" t="s">
        <v>54</v>
      </c>
      <c r="O151" s="11" t="s">
        <v>76</v>
      </c>
      <c r="P151" s="11" t="s">
        <v>251</v>
      </c>
      <c r="Q151" s="54"/>
      <c r="R151" s="32">
        <v>46264.0</v>
      </c>
      <c r="S151" s="54"/>
      <c r="T151" s="55"/>
      <c r="U151" s="11" t="s">
        <v>54</v>
      </c>
      <c r="V151" s="56"/>
      <c r="W151" s="12" t="s">
        <v>56</v>
      </c>
      <c r="X151" s="11" t="s">
        <v>54</v>
      </c>
      <c r="Y151" s="54"/>
      <c r="Z151" s="16"/>
      <c r="AA151" s="19"/>
      <c r="AB151" s="54"/>
      <c r="AC151" s="12" t="str">
        <f t="shared" si="2"/>
        <v>RB021M01</v>
      </c>
    </row>
    <row r="152" ht="18.0" customHeight="1">
      <c r="A152" s="11">
        <f t="shared" si="1"/>
        <v>149</v>
      </c>
      <c r="B152" s="12" t="s">
        <v>245</v>
      </c>
      <c r="C152" s="11" t="s">
        <v>444</v>
      </c>
      <c r="D152" s="12" t="s">
        <v>45</v>
      </c>
      <c r="E152" s="12" t="s">
        <v>47</v>
      </c>
      <c r="F152" s="12" t="s">
        <v>495</v>
      </c>
      <c r="G152" s="13" t="s">
        <v>496</v>
      </c>
      <c r="H152" s="11" t="s">
        <v>447</v>
      </c>
      <c r="I152" s="52">
        <v>46353.0</v>
      </c>
      <c r="J152" s="52">
        <v>46354.0</v>
      </c>
      <c r="K152" s="53"/>
      <c r="L152" s="53"/>
      <c r="M152" s="12" t="s">
        <v>497</v>
      </c>
      <c r="N152" s="11" t="s">
        <v>54</v>
      </c>
      <c r="O152" s="11" t="s">
        <v>76</v>
      </c>
      <c r="P152" s="11" t="s">
        <v>251</v>
      </c>
      <c r="Q152" s="54"/>
      <c r="R152" s="32">
        <v>46264.0</v>
      </c>
      <c r="S152" s="54"/>
      <c r="T152" s="55"/>
      <c r="U152" s="11" t="s">
        <v>54</v>
      </c>
      <c r="V152" s="56"/>
      <c r="W152" s="12" t="s">
        <v>56</v>
      </c>
      <c r="X152" s="11" t="s">
        <v>54</v>
      </c>
      <c r="Y152" s="54"/>
      <c r="Z152" s="16"/>
      <c r="AA152" s="19"/>
      <c r="AB152" s="54"/>
      <c r="AC152" s="12" t="str">
        <f t="shared" si="2"/>
        <v>RB022M01</v>
      </c>
    </row>
    <row r="153" ht="18.0" customHeight="1">
      <c r="A153" s="11">
        <f t="shared" si="1"/>
        <v>150</v>
      </c>
      <c r="B153" s="12" t="s">
        <v>245</v>
      </c>
      <c r="C153" s="11" t="s">
        <v>444</v>
      </c>
      <c r="D153" s="12" t="s">
        <v>45</v>
      </c>
      <c r="E153" s="12" t="s">
        <v>47</v>
      </c>
      <c r="F153" s="12" t="s">
        <v>498</v>
      </c>
      <c r="G153" s="13" t="s">
        <v>499</v>
      </c>
      <c r="H153" s="11" t="s">
        <v>447</v>
      </c>
      <c r="I153" s="52">
        <v>46355.0</v>
      </c>
      <c r="J153" s="52">
        <v>46358.0</v>
      </c>
      <c r="K153" s="53"/>
      <c r="L153" s="53"/>
      <c r="M153" s="12" t="s">
        <v>500</v>
      </c>
      <c r="N153" s="11" t="s">
        <v>54</v>
      </c>
      <c r="O153" s="11" t="s">
        <v>76</v>
      </c>
      <c r="P153" s="11" t="s">
        <v>251</v>
      </c>
      <c r="Q153" s="54"/>
      <c r="R153" s="32">
        <v>46264.0</v>
      </c>
      <c r="S153" s="54"/>
      <c r="T153" s="55"/>
      <c r="U153" s="11" t="s">
        <v>54</v>
      </c>
      <c r="V153" s="56"/>
      <c r="W153" s="12" t="s">
        <v>56</v>
      </c>
      <c r="X153" s="11" t="s">
        <v>54</v>
      </c>
      <c r="Y153" s="54"/>
      <c r="Z153" s="16"/>
      <c r="AA153" s="19"/>
      <c r="AB153" s="54"/>
      <c r="AC153" s="12" t="str">
        <f t="shared" si="2"/>
        <v>RB023M01</v>
      </c>
    </row>
    <row r="154" ht="18.0" customHeight="1">
      <c r="A154" s="11">
        <f t="shared" si="1"/>
        <v>151</v>
      </c>
      <c r="B154" s="12" t="s">
        <v>245</v>
      </c>
      <c r="C154" s="11" t="s">
        <v>444</v>
      </c>
      <c r="D154" s="12" t="s">
        <v>45</v>
      </c>
      <c r="E154" s="12" t="s">
        <v>47</v>
      </c>
      <c r="F154" s="12" t="s">
        <v>501</v>
      </c>
      <c r="G154" s="13" t="s">
        <v>502</v>
      </c>
      <c r="H154" s="11" t="s">
        <v>447</v>
      </c>
      <c r="I154" s="52">
        <v>46359.0</v>
      </c>
      <c r="J154" s="52">
        <v>46362.0</v>
      </c>
      <c r="K154" s="53"/>
      <c r="L154" s="53"/>
      <c r="M154" s="12" t="s">
        <v>503</v>
      </c>
      <c r="N154" s="11" t="s">
        <v>54</v>
      </c>
      <c r="O154" s="11" t="s">
        <v>76</v>
      </c>
      <c r="P154" s="11" t="s">
        <v>251</v>
      </c>
      <c r="Q154" s="54"/>
      <c r="R154" s="32">
        <v>46264.0</v>
      </c>
      <c r="S154" s="54"/>
      <c r="T154" s="55"/>
      <c r="U154" s="11" t="s">
        <v>54</v>
      </c>
      <c r="V154" s="56"/>
      <c r="W154" s="12" t="s">
        <v>56</v>
      </c>
      <c r="X154" s="11" t="s">
        <v>54</v>
      </c>
      <c r="Y154" s="54"/>
      <c r="Z154" s="16"/>
      <c r="AA154" s="19"/>
      <c r="AB154" s="54"/>
      <c r="AC154" s="12" t="str">
        <f t="shared" si="2"/>
        <v>RB024M01</v>
      </c>
    </row>
    <row r="155" ht="18.0" customHeight="1">
      <c r="A155" s="11">
        <f t="shared" si="1"/>
        <v>152</v>
      </c>
      <c r="B155" s="12" t="s">
        <v>245</v>
      </c>
      <c r="C155" s="11" t="s">
        <v>444</v>
      </c>
      <c r="D155" s="12" t="s">
        <v>45</v>
      </c>
      <c r="E155" s="12" t="s">
        <v>47</v>
      </c>
      <c r="F155" s="12" t="s">
        <v>504</v>
      </c>
      <c r="G155" s="13" t="s">
        <v>505</v>
      </c>
      <c r="H155" s="11" t="s">
        <v>447</v>
      </c>
      <c r="I155" s="52">
        <v>46363.0</v>
      </c>
      <c r="J155" s="52">
        <v>46364.0</v>
      </c>
      <c r="K155" s="53"/>
      <c r="L155" s="53"/>
      <c r="M155" s="12" t="s">
        <v>506</v>
      </c>
      <c r="N155" s="11" t="s">
        <v>54</v>
      </c>
      <c r="O155" s="11" t="s">
        <v>76</v>
      </c>
      <c r="P155" s="11" t="s">
        <v>251</v>
      </c>
      <c r="Q155" s="54"/>
      <c r="R155" s="32">
        <v>46264.0</v>
      </c>
      <c r="S155" s="54"/>
      <c r="T155" s="55"/>
      <c r="U155" s="11" t="s">
        <v>54</v>
      </c>
      <c r="V155" s="56"/>
      <c r="W155" s="12" t="s">
        <v>56</v>
      </c>
      <c r="X155" s="11" t="s">
        <v>54</v>
      </c>
      <c r="Y155" s="54"/>
      <c r="Z155" s="16"/>
      <c r="AA155" s="19"/>
      <c r="AB155" s="54"/>
      <c r="AC155" s="12" t="str">
        <f t="shared" si="2"/>
        <v>RB025M01</v>
      </c>
    </row>
    <row r="156" ht="18.0" customHeight="1">
      <c r="A156" s="11">
        <f t="shared" si="1"/>
        <v>153</v>
      </c>
      <c r="B156" s="12" t="s">
        <v>245</v>
      </c>
      <c r="C156" s="11" t="s">
        <v>444</v>
      </c>
      <c r="D156" s="12" t="s">
        <v>45</v>
      </c>
      <c r="E156" s="12" t="s">
        <v>47</v>
      </c>
      <c r="F156" s="12" t="s">
        <v>507</v>
      </c>
      <c r="G156" s="13" t="s">
        <v>508</v>
      </c>
      <c r="H156" s="11" t="s">
        <v>457</v>
      </c>
      <c r="I156" s="52">
        <v>46337.0</v>
      </c>
      <c r="J156" s="52">
        <v>46338.0</v>
      </c>
      <c r="K156" s="53"/>
      <c r="L156" s="53"/>
      <c r="M156" s="12" t="s">
        <v>509</v>
      </c>
      <c r="N156" s="11" t="s">
        <v>54</v>
      </c>
      <c r="O156" s="11" t="s">
        <v>55</v>
      </c>
      <c r="P156" s="11" t="s">
        <v>251</v>
      </c>
      <c r="Q156" s="54"/>
      <c r="R156" s="32">
        <v>46264.0</v>
      </c>
      <c r="S156" s="54"/>
      <c r="T156" s="55"/>
      <c r="U156" s="11" t="s">
        <v>54</v>
      </c>
      <c r="V156" s="56"/>
      <c r="W156" s="12" t="s">
        <v>56</v>
      </c>
      <c r="X156" s="11" t="s">
        <v>82</v>
      </c>
      <c r="Y156" s="54"/>
      <c r="Z156" s="14">
        <v>46268.0</v>
      </c>
      <c r="AA156" s="19"/>
      <c r="AB156" s="54"/>
      <c r="AC156" s="12" t="str">
        <f t="shared" si="2"/>
        <v>RB031M01</v>
      </c>
    </row>
    <row r="157" ht="18.0" customHeight="1">
      <c r="A157" s="11">
        <f t="shared" si="1"/>
        <v>154</v>
      </c>
      <c r="B157" s="12" t="s">
        <v>245</v>
      </c>
      <c r="C157" s="11" t="s">
        <v>444</v>
      </c>
      <c r="D157" s="12" t="s">
        <v>45</v>
      </c>
      <c r="E157" s="12" t="s">
        <v>47</v>
      </c>
      <c r="F157" s="12" t="s">
        <v>510</v>
      </c>
      <c r="G157" s="13" t="s">
        <v>511</v>
      </c>
      <c r="H157" s="11" t="s">
        <v>457</v>
      </c>
      <c r="I157" s="52">
        <v>46339.0</v>
      </c>
      <c r="J157" s="52">
        <v>46340.0</v>
      </c>
      <c r="K157" s="53"/>
      <c r="L157" s="53"/>
      <c r="M157" s="12" t="s">
        <v>512</v>
      </c>
      <c r="N157" s="11" t="s">
        <v>54</v>
      </c>
      <c r="O157" s="11" t="s">
        <v>55</v>
      </c>
      <c r="P157" s="11" t="s">
        <v>251</v>
      </c>
      <c r="Q157" s="54"/>
      <c r="R157" s="32">
        <v>46264.0</v>
      </c>
      <c r="S157" s="54"/>
      <c r="T157" s="55"/>
      <c r="U157" s="11" t="s">
        <v>54</v>
      </c>
      <c r="V157" s="56"/>
      <c r="W157" s="12" t="s">
        <v>56</v>
      </c>
      <c r="X157" s="11" t="s">
        <v>82</v>
      </c>
      <c r="Y157" s="54"/>
      <c r="Z157" s="14">
        <v>46268.0</v>
      </c>
      <c r="AA157" s="19"/>
      <c r="AB157" s="54"/>
      <c r="AC157" s="12" t="str">
        <f t="shared" si="2"/>
        <v>RB031P01</v>
      </c>
    </row>
    <row r="158" ht="18.0" customHeight="1">
      <c r="A158" s="11">
        <f t="shared" si="1"/>
        <v>155</v>
      </c>
      <c r="B158" s="12" t="s">
        <v>245</v>
      </c>
      <c r="C158" s="11" t="s">
        <v>444</v>
      </c>
      <c r="D158" s="12" t="s">
        <v>45</v>
      </c>
      <c r="E158" s="12" t="s">
        <v>47</v>
      </c>
      <c r="F158" s="12" t="s">
        <v>513</v>
      </c>
      <c r="G158" s="13" t="s">
        <v>514</v>
      </c>
      <c r="H158" s="11" t="s">
        <v>457</v>
      </c>
      <c r="I158" s="52">
        <v>46341.0</v>
      </c>
      <c r="J158" s="52">
        <v>46344.0</v>
      </c>
      <c r="K158" s="53"/>
      <c r="L158" s="53"/>
      <c r="M158" s="12" t="s">
        <v>515</v>
      </c>
      <c r="N158" s="11" t="s">
        <v>54</v>
      </c>
      <c r="O158" s="11" t="s">
        <v>55</v>
      </c>
      <c r="P158" s="11" t="s">
        <v>251</v>
      </c>
      <c r="Q158" s="54"/>
      <c r="R158" s="32">
        <v>46264.0</v>
      </c>
      <c r="S158" s="54"/>
      <c r="T158" s="55"/>
      <c r="U158" s="11" t="s">
        <v>54</v>
      </c>
      <c r="V158" s="56"/>
      <c r="W158" s="12" t="s">
        <v>56</v>
      </c>
      <c r="X158" s="11" t="s">
        <v>82</v>
      </c>
      <c r="Y158" s="54"/>
      <c r="Z158" s="14">
        <v>46268.0</v>
      </c>
      <c r="AA158" s="19"/>
      <c r="AB158" s="54"/>
      <c r="AC158" s="12" t="str">
        <f t="shared" si="2"/>
        <v>RB032M01</v>
      </c>
    </row>
    <row r="159" ht="18.0" customHeight="1">
      <c r="A159" s="11">
        <f t="shared" si="1"/>
        <v>156</v>
      </c>
      <c r="B159" s="12" t="s">
        <v>245</v>
      </c>
      <c r="C159" s="11" t="s">
        <v>444</v>
      </c>
      <c r="D159" s="12" t="s">
        <v>45</v>
      </c>
      <c r="E159" s="12" t="s">
        <v>47</v>
      </c>
      <c r="F159" s="12" t="s">
        <v>517</v>
      </c>
      <c r="G159" s="13" t="s">
        <v>518</v>
      </c>
      <c r="H159" s="11" t="s">
        <v>457</v>
      </c>
      <c r="I159" s="52">
        <v>46345.0</v>
      </c>
      <c r="J159" s="52">
        <v>46346.0</v>
      </c>
      <c r="K159" s="53"/>
      <c r="L159" s="53"/>
      <c r="M159" s="12" t="s">
        <v>519</v>
      </c>
      <c r="N159" s="11" t="s">
        <v>54</v>
      </c>
      <c r="O159" s="11" t="s">
        <v>55</v>
      </c>
      <c r="P159" s="11" t="s">
        <v>251</v>
      </c>
      <c r="Q159" s="54"/>
      <c r="R159" s="32">
        <v>46264.0</v>
      </c>
      <c r="S159" s="54"/>
      <c r="T159" s="55"/>
      <c r="U159" s="11" t="s">
        <v>54</v>
      </c>
      <c r="V159" s="56"/>
      <c r="W159" s="12" t="s">
        <v>56</v>
      </c>
      <c r="X159" s="11" t="s">
        <v>82</v>
      </c>
      <c r="Y159" s="54"/>
      <c r="Z159" s="14">
        <v>46268.0</v>
      </c>
      <c r="AA159" s="19"/>
      <c r="AB159" s="54"/>
      <c r="AC159" s="12" t="str">
        <f t="shared" si="2"/>
        <v>RB033M01</v>
      </c>
    </row>
    <row r="160" ht="18.0" customHeight="1">
      <c r="A160" s="11">
        <f t="shared" si="1"/>
        <v>157</v>
      </c>
      <c r="B160" s="12" t="s">
        <v>245</v>
      </c>
      <c r="C160" s="11" t="s">
        <v>444</v>
      </c>
      <c r="D160" s="12" t="s">
        <v>45</v>
      </c>
      <c r="E160" s="12" t="s">
        <v>47</v>
      </c>
      <c r="F160" s="12" t="s">
        <v>521</v>
      </c>
      <c r="G160" s="13" t="s">
        <v>522</v>
      </c>
      <c r="H160" s="11" t="s">
        <v>457</v>
      </c>
      <c r="I160" s="52">
        <v>46347.0</v>
      </c>
      <c r="J160" s="52">
        <v>46348.0</v>
      </c>
      <c r="K160" s="53"/>
      <c r="L160" s="53"/>
      <c r="M160" s="12" t="s">
        <v>524</v>
      </c>
      <c r="N160" s="11" t="s">
        <v>54</v>
      </c>
      <c r="O160" s="11" t="s">
        <v>55</v>
      </c>
      <c r="P160" s="11" t="s">
        <v>251</v>
      </c>
      <c r="Q160" s="54"/>
      <c r="R160" s="32">
        <v>46264.0</v>
      </c>
      <c r="S160" s="54"/>
      <c r="T160" s="55"/>
      <c r="U160" s="11" t="s">
        <v>54</v>
      </c>
      <c r="V160" s="56"/>
      <c r="W160" s="12" t="s">
        <v>56</v>
      </c>
      <c r="X160" s="11" t="s">
        <v>82</v>
      </c>
      <c r="Y160" s="54"/>
      <c r="Z160" s="14">
        <v>46268.0</v>
      </c>
      <c r="AA160" s="19"/>
      <c r="AB160" s="54"/>
      <c r="AC160" s="12" t="str">
        <f t="shared" si="2"/>
        <v>RB034M01</v>
      </c>
    </row>
    <row r="161" ht="18.0" customHeight="1">
      <c r="A161" s="11">
        <f t="shared" si="1"/>
        <v>158</v>
      </c>
      <c r="B161" s="12" t="s">
        <v>245</v>
      </c>
      <c r="C161" s="11" t="s">
        <v>444</v>
      </c>
      <c r="D161" s="12" t="s">
        <v>45</v>
      </c>
      <c r="E161" s="12" t="s">
        <v>47</v>
      </c>
      <c r="F161" s="12" t="s">
        <v>533</v>
      </c>
      <c r="G161" s="13" t="s">
        <v>534</v>
      </c>
      <c r="H161" s="11" t="s">
        <v>457</v>
      </c>
      <c r="I161" s="52">
        <v>46351.0</v>
      </c>
      <c r="J161" s="52">
        <v>46352.0</v>
      </c>
      <c r="K161" s="53"/>
      <c r="L161" s="53"/>
      <c r="M161" s="12" t="s">
        <v>535</v>
      </c>
      <c r="N161" s="11" t="s">
        <v>54</v>
      </c>
      <c r="O161" s="11" t="s">
        <v>55</v>
      </c>
      <c r="P161" s="11" t="s">
        <v>251</v>
      </c>
      <c r="Q161" s="54"/>
      <c r="R161" s="32">
        <v>46264.0</v>
      </c>
      <c r="S161" s="54"/>
      <c r="T161" s="55"/>
      <c r="U161" s="11" t="s">
        <v>54</v>
      </c>
      <c r="V161" s="56"/>
      <c r="W161" s="12" t="s">
        <v>56</v>
      </c>
      <c r="X161" s="11" t="s">
        <v>82</v>
      </c>
      <c r="Y161" s="54"/>
      <c r="Z161" s="14">
        <v>46268.0</v>
      </c>
      <c r="AA161" s="19"/>
      <c r="AB161" s="54"/>
      <c r="AC161" s="12" t="str">
        <f t="shared" si="2"/>
        <v>RB034P01</v>
      </c>
    </row>
    <row r="162" ht="18.0" customHeight="1">
      <c r="A162" s="11">
        <f t="shared" si="1"/>
        <v>159</v>
      </c>
      <c r="B162" s="12" t="s">
        <v>245</v>
      </c>
      <c r="C162" s="11" t="s">
        <v>444</v>
      </c>
      <c r="D162" s="12" t="s">
        <v>45</v>
      </c>
      <c r="E162" s="12" t="s">
        <v>47</v>
      </c>
      <c r="F162" s="12" t="s">
        <v>536</v>
      </c>
      <c r="G162" s="13" t="s">
        <v>537</v>
      </c>
      <c r="H162" s="11" t="s">
        <v>457</v>
      </c>
      <c r="I162" s="52">
        <v>46353.0</v>
      </c>
      <c r="J162" s="52">
        <v>46354.0</v>
      </c>
      <c r="K162" s="53"/>
      <c r="L162" s="53"/>
      <c r="M162" s="12" t="s">
        <v>538</v>
      </c>
      <c r="N162" s="11" t="s">
        <v>54</v>
      </c>
      <c r="O162" s="11" t="s">
        <v>76</v>
      </c>
      <c r="P162" s="11" t="s">
        <v>251</v>
      </c>
      <c r="Q162" s="54"/>
      <c r="R162" s="32">
        <v>46264.0</v>
      </c>
      <c r="S162" s="54"/>
      <c r="T162" s="55"/>
      <c r="U162" s="11" t="s">
        <v>54</v>
      </c>
      <c r="V162" s="56"/>
      <c r="W162" s="12" t="s">
        <v>56</v>
      </c>
      <c r="X162" s="11" t="s">
        <v>82</v>
      </c>
      <c r="Y162" s="54"/>
      <c r="Z162" s="16"/>
      <c r="AA162" s="19"/>
      <c r="AB162" s="54"/>
      <c r="AC162" s="12" t="str">
        <f t="shared" si="2"/>
        <v>RB041M01</v>
      </c>
    </row>
    <row r="163" ht="18.0" customHeight="1">
      <c r="A163" s="11">
        <f t="shared" si="1"/>
        <v>160</v>
      </c>
      <c r="B163" s="12" t="s">
        <v>245</v>
      </c>
      <c r="C163" s="11" t="s">
        <v>444</v>
      </c>
      <c r="D163" s="12" t="s">
        <v>45</v>
      </c>
      <c r="E163" s="12" t="s">
        <v>47</v>
      </c>
      <c r="F163" s="12" t="s">
        <v>539</v>
      </c>
      <c r="G163" s="13" t="s">
        <v>540</v>
      </c>
      <c r="H163" s="11" t="s">
        <v>457</v>
      </c>
      <c r="I163" s="52">
        <v>46355.0</v>
      </c>
      <c r="J163" s="52">
        <v>46358.0</v>
      </c>
      <c r="K163" s="53"/>
      <c r="L163" s="53"/>
      <c r="M163" s="12" t="s">
        <v>541</v>
      </c>
      <c r="N163" s="11" t="s">
        <v>54</v>
      </c>
      <c r="O163" s="11" t="s">
        <v>76</v>
      </c>
      <c r="P163" s="11" t="s">
        <v>251</v>
      </c>
      <c r="Q163" s="54"/>
      <c r="R163" s="32">
        <v>46264.0</v>
      </c>
      <c r="S163" s="54"/>
      <c r="T163" s="55"/>
      <c r="U163" s="11" t="s">
        <v>54</v>
      </c>
      <c r="V163" s="56"/>
      <c r="W163" s="12" t="s">
        <v>56</v>
      </c>
      <c r="X163" s="11" t="s">
        <v>82</v>
      </c>
      <c r="Y163" s="54"/>
      <c r="Z163" s="16"/>
      <c r="AA163" s="19"/>
      <c r="AB163" s="54"/>
      <c r="AC163" s="12" t="str">
        <f t="shared" si="2"/>
        <v>RB042M01</v>
      </c>
    </row>
    <row r="164" ht="18.0" customHeight="1">
      <c r="A164" s="11">
        <f t="shared" si="1"/>
        <v>161</v>
      </c>
      <c r="B164" s="12" t="s">
        <v>245</v>
      </c>
      <c r="C164" s="11" t="s">
        <v>444</v>
      </c>
      <c r="D164" s="12" t="s">
        <v>45</v>
      </c>
      <c r="E164" s="12" t="s">
        <v>47</v>
      </c>
      <c r="F164" s="12" t="s">
        <v>542</v>
      </c>
      <c r="G164" s="13" t="s">
        <v>543</v>
      </c>
      <c r="H164" s="11" t="s">
        <v>457</v>
      </c>
      <c r="I164" s="52">
        <v>46359.0</v>
      </c>
      <c r="J164" s="52">
        <v>46360.0</v>
      </c>
      <c r="K164" s="53"/>
      <c r="L164" s="53"/>
      <c r="M164" s="12" t="s">
        <v>544</v>
      </c>
      <c r="N164" s="11" t="s">
        <v>54</v>
      </c>
      <c r="O164" s="11" t="s">
        <v>76</v>
      </c>
      <c r="P164" s="11" t="s">
        <v>251</v>
      </c>
      <c r="Q164" s="54"/>
      <c r="R164" s="32">
        <v>46264.0</v>
      </c>
      <c r="S164" s="54"/>
      <c r="T164" s="55"/>
      <c r="U164" s="11" t="s">
        <v>54</v>
      </c>
      <c r="V164" s="56"/>
      <c r="W164" s="12" t="s">
        <v>56</v>
      </c>
      <c r="X164" s="11" t="s">
        <v>82</v>
      </c>
      <c r="Y164" s="54"/>
      <c r="Z164" s="16"/>
      <c r="AA164" s="19"/>
      <c r="AB164" s="54"/>
      <c r="AC164" s="12" t="str">
        <f t="shared" si="2"/>
        <v>RB042T01</v>
      </c>
    </row>
    <row r="165" ht="18.0" customHeight="1">
      <c r="A165" s="11">
        <f t="shared" si="1"/>
        <v>162</v>
      </c>
      <c r="B165" s="12" t="s">
        <v>245</v>
      </c>
      <c r="C165" s="11" t="s">
        <v>444</v>
      </c>
      <c r="D165" s="12" t="s">
        <v>45</v>
      </c>
      <c r="E165" s="12" t="s">
        <v>47</v>
      </c>
      <c r="F165" s="12" t="s">
        <v>545</v>
      </c>
      <c r="G165" s="13" t="s">
        <v>546</v>
      </c>
      <c r="H165" s="11" t="s">
        <v>457</v>
      </c>
      <c r="I165" s="52">
        <v>46361.0</v>
      </c>
      <c r="J165" s="52">
        <v>46362.0</v>
      </c>
      <c r="K165" s="53"/>
      <c r="L165" s="53"/>
      <c r="M165" s="12" t="s">
        <v>547</v>
      </c>
      <c r="N165" s="11" t="s">
        <v>54</v>
      </c>
      <c r="O165" s="11" t="s">
        <v>76</v>
      </c>
      <c r="P165" s="11" t="s">
        <v>251</v>
      </c>
      <c r="Q165" s="54"/>
      <c r="R165" s="32">
        <v>46264.0</v>
      </c>
      <c r="S165" s="54"/>
      <c r="T165" s="55"/>
      <c r="U165" s="11" t="s">
        <v>54</v>
      </c>
      <c r="V165" s="56"/>
      <c r="W165" s="12" t="s">
        <v>56</v>
      </c>
      <c r="X165" s="11" t="s">
        <v>82</v>
      </c>
      <c r="Y165" s="54"/>
      <c r="Z165" s="16"/>
      <c r="AA165" s="19"/>
      <c r="AB165" s="54"/>
      <c r="AC165" s="12" t="str">
        <f t="shared" si="2"/>
        <v>RB043M01</v>
      </c>
    </row>
    <row r="166" ht="18.0" customHeight="1">
      <c r="A166" s="11">
        <f t="shared" si="1"/>
        <v>163</v>
      </c>
      <c r="B166" s="12" t="s">
        <v>245</v>
      </c>
      <c r="C166" s="11" t="s">
        <v>444</v>
      </c>
      <c r="D166" s="12" t="s">
        <v>45</v>
      </c>
      <c r="E166" s="12" t="s">
        <v>47</v>
      </c>
      <c r="F166" s="12" t="s">
        <v>548</v>
      </c>
      <c r="G166" s="13" t="s">
        <v>549</v>
      </c>
      <c r="H166" s="11" t="s">
        <v>457</v>
      </c>
      <c r="I166" s="52">
        <v>46365.0</v>
      </c>
      <c r="J166" s="52">
        <v>46366.0</v>
      </c>
      <c r="K166" s="53"/>
      <c r="L166" s="53"/>
      <c r="M166" s="12" t="s">
        <v>550</v>
      </c>
      <c r="N166" s="11" t="s">
        <v>54</v>
      </c>
      <c r="O166" s="11" t="s">
        <v>76</v>
      </c>
      <c r="P166" s="11" t="s">
        <v>251</v>
      </c>
      <c r="Q166" s="54"/>
      <c r="R166" s="32">
        <v>46264.0</v>
      </c>
      <c r="S166" s="54"/>
      <c r="T166" s="55"/>
      <c r="U166" s="11" t="s">
        <v>54</v>
      </c>
      <c r="V166" s="56"/>
      <c r="W166" s="12" t="s">
        <v>56</v>
      </c>
      <c r="X166" s="11" t="s">
        <v>82</v>
      </c>
      <c r="Y166" s="54"/>
      <c r="Z166" s="16"/>
      <c r="AA166" s="19"/>
      <c r="AB166" s="54"/>
      <c r="AC166" s="12" t="str">
        <f t="shared" si="2"/>
        <v>RB043P01</v>
      </c>
    </row>
    <row r="167" ht="18.0" customHeight="1">
      <c r="A167" s="11">
        <f t="shared" si="1"/>
        <v>164</v>
      </c>
      <c r="B167" s="12" t="s">
        <v>245</v>
      </c>
      <c r="C167" s="11" t="s">
        <v>444</v>
      </c>
      <c r="D167" s="12" t="s">
        <v>45</v>
      </c>
      <c r="E167" s="12" t="s">
        <v>47</v>
      </c>
      <c r="F167" s="12" t="s">
        <v>551</v>
      </c>
      <c r="G167" s="13" t="s">
        <v>552</v>
      </c>
      <c r="H167" s="11" t="s">
        <v>457</v>
      </c>
      <c r="I167" s="52">
        <v>46367.0</v>
      </c>
      <c r="J167" s="52">
        <v>46368.0</v>
      </c>
      <c r="K167" s="53"/>
      <c r="L167" s="53"/>
      <c r="M167" s="12" t="s">
        <v>553</v>
      </c>
      <c r="N167" s="11" t="s">
        <v>54</v>
      </c>
      <c r="O167" s="11" t="s">
        <v>76</v>
      </c>
      <c r="P167" s="11" t="s">
        <v>251</v>
      </c>
      <c r="Q167" s="54"/>
      <c r="R167" s="32">
        <v>46264.0</v>
      </c>
      <c r="S167" s="54"/>
      <c r="T167" s="55"/>
      <c r="U167" s="11" t="s">
        <v>54</v>
      </c>
      <c r="V167" s="56"/>
      <c r="W167" s="12" t="s">
        <v>56</v>
      </c>
      <c r="X167" s="11" t="s">
        <v>82</v>
      </c>
      <c r="Y167" s="54"/>
      <c r="Z167" s="16"/>
      <c r="AA167" s="19"/>
      <c r="AB167" s="54"/>
      <c r="AC167" s="12" t="str">
        <f t="shared" si="2"/>
        <v>RB044M01</v>
      </c>
    </row>
    <row r="168" ht="18.0" customHeight="1">
      <c r="A168" s="11">
        <f t="shared" si="1"/>
        <v>165</v>
      </c>
      <c r="B168" s="12" t="s">
        <v>245</v>
      </c>
      <c r="C168" s="11" t="s">
        <v>444</v>
      </c>
      <c r="D168" s="12" t="s">
        <v>45</v>
      </c>
      <c r="E168" s="12" t="s">
        <v>47</v>
      </c>
      <c r="F168" s="12" t="s">
        <v>554</v>
      </c>
      <c r="G168" s="13" t="s">
        <v>555</v>
      </c>
      <c r="H168" s="11" t="s">
        <v>447</v>
      </c>
      <c r="I168" s="52">
        <v>46331.0</v>
      </c>
      <c r="J168" s="52">
        <v>46332.0</v>
      </c>
      <c r="K168" s="53"/>
      <c r="L168" s="53"/>
      <c r="M168" s="12" t="s">
        <v>556</v>
      </c>
      <c r="N168" s="11" t="s">
        <v>54</v>
      </c>
      <c r="O168" s="11" t="s">
        <v>76</v>
      </c>
      <c r="P168" s="11" t="s">
        <v>251</v>
      </c>
      <c r="Q168" s="54"/>
      <c r="R168" s="32">
        <v>46264.0</v>
      </c>
      <c r="S168" s="54"/>
      <c r="T168" s="55"/>
      <c r="U168" s="11" t="s">
        <v>54</v>
      </c>
      <c r="V168" s="56"/>
      <c r="W168" s="12" t="s">
        <v>56</v>
      </c>
      <c r="X168" s="11" t="s">
        <v>54</v>
      </c>
      <c r="Y168" s="54"/>
      <c r="Z168" s="16"/>
      <c r="AA168" s="19"/>
      <c r="AB168" s="54"/>
      <c r="AC168" s="12" t="str">
        <f t="shared" si="2"/>
        <v>RB051M01</v>
      </c>
    </row>
    <row r="169" ht="18.0" customHeight="1">
      <c r="A169" s="11">
        <f t="shared" si="1"/>
        <v>166</v>
      </c>
      <c r="B169" s="12" t="s">
        <v>245</v>
      </c>
      <c r="C169" s="11" t="s">
        <v>444</v>
      </c>
      <c r="D169" s="12" t="s">
        <v>45</v>
      </c>
      <c r="E169" s="12" t="s">
        <v>47</v>
      </c>
      <c r="F169" s="12" t="s">
        <v>557</v>
      </c>
      <c r="G169" s="13" t="s">
        <v>558</v>
      </c>
      <c r="H169" s="11" t="s">
        <v>447</v>
      </c>
      <c r="I169" s="52">
        <v>46333.0</v>
      </c>
      <c r="J169" s="52">
        <v>46334.0</v>
      </c>
      <c r="K169" s="53"/>
      <c r="L169" s="53"/>
      <c r="M169" s="12" t="s">
        <v>559</v>
      </c>
      <c r="N169" s="11" t="s">
        <v>54</v>
      </c>
      <c r="O169" s="11" t="s">
        <v>76</v>
      </c>
      <c r="P169" s="11" t="s">
        <v>251</v>
      </c>
      <c r="Q169" s="54"/>
      <c r="R169" s="32">
        <v>46264.0</v>
      </c>
      <c r="S169" s="54"/>
      <c r="T169" s="55"/>
      <c r="U169" s="11" t="s">
        <v>54</v>
      </c>
      <c r="V169" s="56"/>
      <c r="W169" s="12" t="s">
        <v>56</v>
      </c>
      <c r="X169" s="11" t="s">
        <v>54</v>
      </c>
      <c r="Y169" s="54"/>
      <c r="Z169" s="16"/>
      <c r="AA169" s="19"/>
      <c r="AB169" s="54"/>
      <c r="AC169" s="12" t="str">
        <f t="shared" si="2"/>
        <v>RB054M01</v>
      </c>
    </row>
    <row r="170" ht="18.0" customHeight="1">
      <c r="A170" s="11">
        <f t="shared" si="1"/>
        <v>167</v>
      </c>
      <c r="B170" s="12" t="s">
        <v>245</v>
      </c>
      <c r="C170" s="11" t="s">
        <v>444</v>
      </c>
      <c r="D170" s="12" t="s">
        <v>45</v>
      </c>
      <c r="E170" s="12" t="s">
        <v>47</v>
      </c>
      <c r="F170" s="12" t="s">
        <v>560</v>
      </c>
      <c r="G170" s="13" t="s">
        <v>561</v>
      </c>
      <c r="H170" s="11" t="s">
        <v>249</v>
      </c>
      <c r="I170" s="52">
        <v>46380.0</v>
      </c>
      <c r="J170" s="52">
        <v>46382.0</v>
      </c>
      <c r="K170" s="53"/>
      <c r="L170" s="53"/>
      <c r="M170" s="12" t="s">
        <v>562</v>
      </c>
      <c r="N170" s="11" t="s">
        <v>54</v>
      </c>
      <c r="O170" s="11" t="s">
        <v>76</v>
      </c>
      <c r="P170" s="11" t="s">
        <v>251</v>
      </c>
      <c r="Q170" s="54"/>
      <c r="R170" s="32">
        <v>46264.0</v>
      </c>
      <c r="S170" s="54"/>
      <c r="T170" s="55"/>
      <c r="U170" s="11" t="s">
        <v>54</v>
      </c>
      <c r="V170" s="56"/>
      <c r="W170" s="12" t="s">
        <v>56</v>
      </c>
      <c r="X170" s="11" t="s">
        <v>54</v>
      </c>
      <c r="Y170" s="54"/>
      <c r="Z170" s="16"/>
      <c r="AA170" s="19"/>
      <c r="AB170" s="54"/>
      <c r="AC170" s="12" t="str">
        <f t="shared" si="2"/>
        <v>RB055M01</v>
      </c>
    </row>
    <row r="171" ht="18.0" customHeight="1">
      <c r="A171" s="11">
        <f t="shared" si="1"/>
        <v>168</v>
      </c>
      <c r="B171" s="12" t="s">
        <v>245</v>
      </c>
      <c r="C171" s="11" t="s">
        <v>444</v>
      </c>
      <c r="D171" s="12" t="s">
        <v>45</v>
      </c>
      <c r="E171" s="12" t="s">
        <v>47</v>
      </c>
      <c r="F171" s="12" t="s">
        <v>563</v>
      </c>
      <c r="G171" s="13" t="s">
        <v>564</v>
      </c>
      <c r="H171" s="11" t="s">
        <v>249</v>
      </c>
      <c r="I171" s="52">
        <v>46380.0</v>
      </c>
      <c r="J171" s="52">
        <v>46382.0</v>
      </c>
      <c r="K171" s="53"/>
      <c r="L171" s="53"/>
      <c r="M171" s="12" t="s">
        <v>565</v>
      </c>
      <c r="N171" s="11" t="s">
        <v>54</v>
      </c>
      <c r="O171" s="11" t="s">
        <v>76</v>
      </c>
      <c r="P171" s="11" t="s">
        <v>251</v>
      </c>
      <c r="Q171" s="54"/>
      <c r="R171" s="32">
        <v>46264.0</v>
      </c>
      <c r="S171" s="54"/>
      <c r="T171" s="55"/>
      <c r="U171" s="11" t="s">
        <v>54</v>
      </c>
      <c r="V171" s="56"/>
      <c r="W171" s="12" t="s">
        <v>56</v>
      </c>
      <c r="X171" s="11" t="s">
        <v>54</v>
      </c>
      <c r="Y171" s="54"/>
      <c r="Z171" s="16"/>
      <c r="AA171" s="19"/>
      <c r="AB171" s="54"/>
      <c r="AC171" s="12" t="str">
        <f t="shared" si="2"/>
        <v>RB055T01</v>
      </c>
    </row>
    <row r="172" ht="18.0" customHeight="1">
      <c r="A172" s="11">
        <f t="shared" si="1"/>
        <v>169</v>
      </c>
      <c r="B172" s="12" t="s">
        <v>245</v>
      </c>
      <c r="C172" s="11" t="s">
        <v>444</v>
      </c>
      <c r="D172" s="12" t="s">
        <v>45</v>
      </c>
      <c r="E172" s="12" t="s">
        <v>47</v>
      </c>
      <c r="F172" s="12" t="s">
        <v>566</v>
      </c>
      <c r="G172" s="13" t="s">
        <v>567</v>
      </c>
      <c r="H172" s="11" t="s">
        <v>249</v>
      </c>
      <c r="I172" s="52">
        <v>46380.0</v>
      </c>
      <c r="J172" s="52">
        <v>46382.0</v>
      </c>
      <c r="K172" s="53"/>
      <c r="L172" s="53"/>
      <c r="M172" s="12" t="s">
        <v>568</v>
      </c>
      <c r="N172" s="11" t="s">
        <v>54</v>
      </c>
      <c r="O172" s="11" t="s">
        <v>76</v>
      </c>
      <c r="P172" s="11" t="s">
        <v>251</v>
      </c>
      <c r="Q172" s="54"/>
      <c r="R172" s="32">
        <v>46264.0</v>
      </c>
      <c r="S172" s="54"/>
      <c r="T172" s="55"/>
      <c r="U172" s="11" t="s">
        <v>54</v>
      </c>
      <c r="V172" s="56"/>
      <c r="W172" s="12" t="s">
        <v>56</v>
      </c>
      <c r="X172" s="11" t="s">
        <v>54</v>
      </c>
      <c r="Y172" s="54"/>
      <c r="Z172" s="16"/>
      <c r="AA172" s="19"/>
      <c r="AB172" s="54"/>
      <c r="AC172" s="12" t="str">
        <f t="shared" si="2"/>
        <v>RB055T02</v>
      </c>
    </row>
    <row r="173" ht="18.0" customHeight="1">
      <c r="A173" s="11">
        <f t="shared" si="1"/>
        <v>170</v>
      </c>
      <c r="B173" s="12" t="s">
        <v>245</v>
      </c>
      <c r="C173" s="11" t="s">
        <v>444</v>
      </c>
      <c r="D173" s="12" t="s">
        <v>45</v>
      </c>
      <c r="E173" s="12" t="s">
        <v>47</v>
      </c>
      <c r="F173" s="12" t="s">
        <v>569</v>
      </c>
      <c r="G173" s="13" t="s">
        <v>570</v>
      </c>
      <c r="H173" s="11" t="s">
        <v>249</v>
      </c>
      <c r="I173" s="52">
        <v>46380.0</v>
      </c>
      <c r="J173" s="52">
        <v>46382.0</v>
      </c>
      <c r="K173" s="53"/>
      <c r="L173" s="53"/>
      <c r="M173" s="12" t="s">
        <v>571</v>
      </c>
      <c r="N173" s="11" t="s">
        <v>54</v>
      </c>
      <c r="O173" s="11" t="s">
        <v>76</v>
      </c>
      <c r="P173" s="11" t="s">
        <v>251</v>
      </c>
      <c r="Q173" s="54"/>
      <c r="R173" s="32">
        <v>46264.0</v>
      </c>
      <c r="S173" s="54"/>
      <c r="T173" s="55"/>
      <c r="U173" s="11" t="s">
        <v>54</v>
      </c>
      <c r="V173" s="56"/>
      <c r="W173" s="12" t="s">
        <v>56</v>
      </c>
      <c r="X173" s="11" t="s">
        <v>54</v>
      </c>
      <c r="Y173" s="54"/>
      <c r="Z173" s="16"/>
      <c r="AA173" s="19"/>
      <c r="AB173" s="54"/>
      <c r="AC173" s="12" t="str">
        <f t="shared" si="2"/>
        <v>RB055T03</v>
      </c>
    </row>
    <row r="174" ht="18.0" customHeight="1">
      <c r="A174" s="11">
        <f t="shared" si="1"/>
        <v>171</v>
      </c>
      <c r="B174" s="12" t="s">
        <v>245</v>
      </c>
      <c r="C174" s="11" t="s">
        <v>444</v>
      </c>
      <c r="D174" s="12" t="s">
        <v>45</v>
      </c>
      <c r="E174" s="12" t="s">
        <v>47</v>
      </c>
      <c r="F174" s="12" t="s">
        <v>572</v>
      </c>
      <c r="G174" s="13" t="s">
        <v>573</v>
      </c>
      <c r="H174" s="11" t="s">
        <v>249</v>
      </c>
      <c r="I174" s="52">
        <v>46380.0</v>
      </c>
      <c r="J174" s="52">
        <v>46382.0</v>
      </c>
      <c r="K174" s="53"/>
      <c r="L174" s="53"/>
      <c r="M174" s="12" t="s">
        <v>575</v>
      </c>
      <c r="N174" s="11" t="s">
        <v>54</v>
      </c>
      <c r="O174" s="11" t="s">
        <v>76</v>
      </c>
      <c r="P174" s="11" t="s">
        <v>251</v>
      </c>
      <c r="Q174" s="54"/>
      <c r="R174" s="32">
        <v>46264.0</v>
      </c>
      <c r="S174" s="54"/>
      <c r="T174" s="55"/>
      <c r="U174" s="11" t="s">
        <v>54</v>
      </c>
      <c r="V174" s="56"/>
      <c r="W174" s="12" t="s">
        <v>56</v>
      </c>
      <c r="X174" s="11" t="s">
        <v>54</v>
      </c>
      <c r="Y174" s="54"/>
      <c r="Z174" s="16"/>
      <c r="AA174" s="19"/>
      <c r="AB174" s="54"/>
      <c r="AC174" s="12" t="str">
        <f t="shared" si="2"/>
        <v>RB055T04</v>
      </c>
    </row>
    <row r="175" ht="18.0" customHeight="1">
      <c r="A175" s="11">
        <f t="shared" si="1"/>
        <v>172</v>
      </c>
      <c r="B175" s="12" t="s">
        <v>245</v>
      </c>
      <c r="C175" s="11" t="s">
        <v>444</v>
      </c>
      <c r="D175" s="12" t="s">
        <v>45</v>
      </c>
      <c r="E175" s="12" t="s">
        <v>47</v>
      </c>
      <c r="F175" s="12" t="s">
        <v>576</v>
      </c>
      <c r="G175" s="13" t="s">
        <v>577</v>
      </c>
      <c r="H175" s="11" t="s">
        <v>249</v>
      </c>
      <c r="I175" s="52">
        <v>46380.0</v>
      </c>
      <c r="J175" s="52">
        <v>46382.0</v>
      </c>
      <c r="K175" s="53"/>
      <c r="L175" s="53"/>
      <c r="M175" s="12" t="s">
        <v>578</v>
      </c>
      <c r="N175" s="11" t="s">
        <v>54</v>
      </c>
      <c r="O175" s="11" t="s">
        <v>76</v>
      </c>
      <c r="P175" s="11" t="s">
        <v>251</v>
      </c>
      <c r="Q175" s="54"/>
      <c r="R175" s="32">
        <v>46264.0</v>
      </c>
      <c r="S175" s="54"/>
      <c r="T175" s="55"/>
      <c r="U175" s="11" t="s">
        <v>54</v>
      </c>
      <c r="V175" s="56"/>
      <c r="W175" s="12" t="s">
        <v>56</v>
      </c>
      <c r="X175" s="11" t="s">
        <v>54</v>
      </c>
      <c r="Y175" s="54"/>
      <c r="Z175" s="16"/>
      <c r="AA175" s="19"/>
      <c r="AB175" s="54"/>
      <c r="AC175" s="12" t="str">
        <f t="shared" si="2"/>
        <v>RB055T05</v>
      </c>
    </row>
    <row r="176" ht="18.0" customHeight="1">
      <c r="A176" s="11">
        <f t="shared" si="1"/>
        <v>173</v>
      </c>
      <c r="B176" s="12" t="s">
        <v>245</v>
      </c>
      <c r="C176" s="11" t="s">
        <v>444</v>
      </c>
      <c r="D176" s="12" t="s">
        <v>45</v>
      </c>
      <c r="E176" s="12" t="s">
        <v>47</v>
      </c>
      <c r="F176" s="12" t="s">
        <v>579</v>
      </c>
      <c r="G176" s="13" t="s">
        <v>580</v>
      </c>
      <c r="H176" s="11" t="s">
        <v>249</v>
      </c>
      <c r="I176" s="52">
        <v>46380.0</v>
      </c>
      <c r="J176" s="52">
        <v>46382.0</v>
      </c>
      <c r="K176" s="53"/>
      <c r="L176" s="53"/>
      <c r="M176" s="12" t="s">
        <v>581</v>
      </c>
      <c r="N176" s="11" t="s">
        <v>54</v>
      </c>
      <c r="O176" s="11" t="s">
        <v>76</v>
      </c>
      <c r="P176" s="11" t="s">
        <v>251</v>
      </c>
      <c r="Q176" s="54"/>
      <c r="R176" s="32">
        <v>46264.0</v>
      </c>
      <c r="S176" s="54"/>
      <c r="T176" s="55"/>
      <c r="U176" s="11" t="s">
        <v>54</v>
      </c>
      <c r="V176" s="56"/>
      <c r="W176" s="12" t="s">
        <v>56</v>
      </c>
      <c r="X176" s="11" t="s">
        <v>54</v>
      </c>
      <c r="Y176" s="54"/>
      <c r="Z176" s="16"/>
      <c r="AA176" s="19"/>
      <c r="AB176" s="54"/>
      <c r="AC176" s="12" t="str">
        <f t="shared" si="2"/>
        <v>RB055T06</v>
      </c>
    </row>
    <row r="177" ht="18.0" customHeight="1">
      <c r="A177" s="11">
        <f t="shared" si="1"/>
        <v>174</v>
      </c>
      <c r="B177" s="12" t="s">
        <v>245</v>
      </c>
      <c r="C177" s="11" t="s">
        <v>444</v>
      </c>
      <c r="D177" s="12" t="s">
        <v>45</v>
      </c>
      <c r="E177" s="12" t="s">
        <v>47</v>
      </c>
      <c r="F177" s="12" t="s">
        <v>582</v>
      </c>
      <c r="G177" s="13" t="s">
        <v>583</v>
      </c>
      <c r="H177" s="11" t="s">
        <v>249</v>
      </c>
      <c r="I177" s="52">
        <v>46382.0</v>
      </c>
      <c r="J177" s="52">
        <v>46386.0</v>
      </c>
      <c r="K177" s="53"/>
      <c r="L177" s="53"/>
      <c r="M177" s="12" t="s">
        <v>584</v>
      </c>
      <c r="N177" s="11" t="s">
        <v>54</v>
      </c>
      <c r="O177" s="11" t="s">
        <v>76</v>
      </c>
      <c r="P177" s="11" t="s">
        <v>251</v>
      </c>
      <c r="Q177" s="54"/>
      <c r="R177" s="32">
        <v>46264.0</v>
      </c>
      <c r="S177" s="54"/>
      <c r="T177" s="55"/>
      <c r="U177" s="11" t="s">
        <v>54</v>
      </c>
      <c r="V177" s="56"/>
      <c r="W177" s="12" t="s">
        <v>56</v>
      </c>
      <c r="X177" s="11" t="s">
        <v>54</v>
      </c>
      <c r="Y177" s="54"/>
      <c r="Z177" s="16"/>
      <c r="AA177" s="19"/>
      <c r="AB177" s="54"/>
      <c r="AC177" s="12" t="str">
        <f t="shared" si="2"/>
        <v>RB056M01</v>
      </c>
    </row>
    <row r="178" ht="18.0" customHeight="1">
      <c r="A178" s="11">
        <f t="shared" si="1"/>
        <v>175</v>
      </c>
      <c r="B178" s="12" t="s">
        <v>245</v>
      </c>
      <c r="C178" s="11" t="s">
        <v>444</v>
      </c>
      <c r="D178" s="12" t="s">
        <v>45</v>
      </c>
      <c r="E178" s="12" t="s">
        <v>47</v>
      </c>
      <c r="F178" s="12" t="s">
        <v>585</v>
      </c>
      <c r="G178" s="13" t="s">
        <v>586</v>
      </c>
      <c r="H178" s="11" t="s">
        <v>249</v>
      </c>
      <c r="I178" s="52">
        <v>46382.0</v>
      </c>
      <c r="J178" s="52">
        <v>46386.0</v>
      </c>
      <c r="K178" s="53"/>
      <c r="L178" s="53"/>
      <c r="M178" s="12" t="s">
        <v>587</v>
      </c>
      <c r="N178" s="11" t="s">
        <v>54</v>
      </c>
      <c r="O178" s="11" t="s">
        <v>76</v>
      </c>
      <c r="P178" s="11" t="s">
        <v>251</v>
      </c>
      <c r="Q178" s="54"/>
      <c r="R178" s="32">
        <v>46264.0</v>
      </c>
      <c r="S178" s="54"/>
      <c r="T178" s="55"/>
      <c r="U178" s="11" t="s">
        <v>54</v>
      </c>
      <c r="V178" s="56"/>
      <c r="W178" s="12" t="s">
        <v>56</v>
      </c>
      <c r="X178" s="11" t="s">
        <v>54</v>
      </c>
      <c r="Y178" s="54"/>
      <c r="Z178" s="16"/>
      <c r="AA178" s="19"/>
      <c r="AB178" s="54"/>
      <c r="AC178" s="12" t="str">
        <f t="shared" si="2"/>
        <v>RB056T01</v>
      </c>
    </row>
    <row r="179" ht="18.0" customHeight="1">
      <c r="A179" s="11">
        <f t="shared" si="1"/>
        <v>176</v>
      </c>
      <c r="B179" s="12" t="s">
        <v>245</v>
      </c>
      <c r="C179" s="11" t="s">
        <v>444</v>
      </c>
      <c r="D179" s="12" t="s">
        <v>45</v>
      </c>
      <c r="E179" s="12" t="s">
        <v>47</v>
      </c>
      <c r="F179" s="12" t="s">
        <v>588</v>
      </c>
      <c r="G179" s="13" t="s">
        <v>589</v>
      </c>
      <c r="H179" s="11" t="s">
        <v>249</v>
      </c>
      <c r="I179" s="52">
        <v>46382.0</v>
      </c>
      <c r="J179" s="52">
        <v>46386.0</v>
      </c>
      <c r="K179" s="53"/>
      <c r="L179" s="53"/>
      <c r="M179" s="12" t="s">
        <v>590</v>
      </c>
      <c r="N179" s="11" t="s">
        <v>54</v>
      </c>
      <c r="O179" s="11" t="s">
        <v>76</v>
      </c>
      <c r="P179" s="11" t="s">
        <v>251</v>
      </c>
      <c r="Q179" s="54"/>
      <c r="R179" s="32">
        <v>46264.0</v>
      </c>
      <c r="S179" s="54"/>
      <c r="T179" s="55"/>
      <c r="U179" s="11" t="s">
        <v>54</v>
      </c>
      <c r="V179" s="56"/>
      <c r="W179" s="12" t="s">
        <v>56</v>
      </c>
      <c r="X179" s="11" t="s">
        <v>54</v>
      </c>
      <c r="Y179" s="54"/>
      <c r="Z179" s="16"/>
      <c r="AA179" s="19"/>
      <c r="AB179" s="54"/>
      <c r="AC179" s="12" t="str">
        <f t="shared" si="2"/>
        <v>RB056T02</v>
      </c>
    </row>
    <row r="180" ht="18.0" customHeight="1">
      <c r="A180" s="11">
        <f t="shared" si="1"/>
        <v>177</v>
      </c>
      <c r="B180" s="12" t="s">
        <v>245</v>
      </c>
      <c r="C180" s="11" t="s">
        <v>444</v>
      </c>
      <c r="D180" s="12" t="s">
        <v>45</v>
      </c>
      <c r="E180" s="12" t="s">
        <v>47</v>
      </c>
      <c r="F180" s="12" t="s">
        <v>591</v>
      </c>
      <c r="G180" s="13" t="s">
        <v>592</v>
      </c>
      <c r="H180" s="11" t="s">
        <v>249</v>
      </c>
      <c r="I180" s="52">
        <v>46382.0</v>
      </c>
      <c r="J180" s="52">
        <v>46386.0</v>
      </c>
      <c r="K180" s="53"/>
      <c r="L180" s="53"/>
      <c r="M180" s="12" t="s">
        <v>593</v>
      </c>
      <c r="N180" s="11" t="s">
        <v>54</v>
      </c>
      <c r="O180" s="11" t="s">
        <v>76</v>
      </c>
      <c r="P180" s="11" t="s">
        <v>251</v>
      </c>
      <c r="Q180" s="54"/>
      <c r="R180" s="32">
        <v>46264.0</v>
      </c>
      <c r="S180" s="54"/>
      <c r="T180" s="55"/>
      <c r="U180" s="11" t="s">
        <v>54</v>
      </c>
      <c r="V180" s="56"/>
      <c r="W180" s="12" t="s">
        <v>56</v>
      </c>
      <c r="X180" s="11" t="s">
        <v>54</v>
      </c>
      <c r="Y180" s="54"/>
      <c r="Z180" s="16"/>
      <c r="AA180" s="19"/>
      <c r="AB180" s="54"/>
      <c r="AC180" s="12" t="str">
        <f t="shared" si="2"/>
        <v>RB056T03</v>
      </c>
    </row>
    <row r="181" ht="18.0" customHeight="1">
      <c r="A181" s="11">
        <f t="shared" si="1"/>
        <v>178</v>
      </c>
      <c r="B181" s="12" t="s">
        <v>245</v>
      </c>
      <c r="C181" s="11" t="s">
        <v>444</v>
      </c>
      <c r="D181" s="12" t="s">
        <v>45</v>
      </c>
      <c r="E181" s="12" t="s">
        <v>47</v>
      </c>
      <c r="F181" s="12" t="s">
        <v>594</v>
      </c>
      <c r="G181" s="13" t="s">
        <v>595</v>
      </c>
      <c r="H181" s="11" t="s">
        <v>249</v>
      </c>
      <c r="I181" s="52">
        <v>46382.0</v>
      </c>
      <c r="J181" s="52">
        <v>46386.0</v>
      </c>
      <c r="K181" s="53"/>
      <c r="L181" s="53"/>
      <c r="M181" s="12" t="s">
        <v>596</v>
      </c>
      <c r="N181" s="11" t="s">
        <v>54</v>
      </c>
      <c r="O181" s="11" t="s">
        <v>76</v>
      </c>
      <c r="P181" s="11" t="s">
        <v>251</v>
      </c>
      <c r="Q181" s="54"/>
      <c r="R181" s="32">
        <v>46264.0</v>
      </c>
      <c r="S181" s="54"/>
      <c r="T181" s="55"/>
      <c r="U181" s="11" t="s">
        <v>54</v>
      </c>
      <c r="V181" s="56"/>
      <c r="W181" s="12" t="s">
        <v>56</v>
      </c>
      <c r="X181" s="11" t="s">
        <v>54</v>
      </c>
      <c r="Y181" s="54"/>
      <c r="Z181" s="16"/>
      <c r="AA181" s="19"/>
      <c r="AB181" s="54"/>
      <c r="AC181" s="12" t="str">
        <f t="shared" si="2"/>
        <v>RB056T04</v>
      </c>
    </row>
    <row r="182" ht="18.0" customHeight="1">
      <c r="A182" s="11">
        <f t="shared" si="1"/>
        <v>179</v>
      </c>
      <c r="B182" s="12" t="s">
        <v>245</v>
      </c>
      <c r="C182" s="11" t="s">
        <v>444</v>
      </c>
      <c r="D182" s="12" t="s">
        <v>45</v>
      </c>
      <c r="E182" s="12" t="s">
        <v>47</v>
      </c>
      <c r="F182" s="12" t="s">
        <v>597</v>
      </c>
      <c r="G182" s="13" t="s">
        <v>598</v>
      </c>
      <c r="H182" s="11" t="s">
        <v>249</v>
      </c>
      <c r="I182" s="52">
        <v>46382.0</v>
      </c>
      <c r="J182" s="52">
        <v>46386.0</v>
      </c>
      <c r="K182" s="53"/>
      <c r="L182" s="53"/>
      <c r="M182" s="12" t="s">
        <v>599</v>
      </c>
      <c r="N182" s="11" t="s">
        <v>54</v>
      </c>
      <c r="O182" s="11" t="s">
        <v>76</v>
      </c>
      <c r="P182" s="11" t="s">
        <v>251</v>
      </c>
      <c r="Q182" s="54"/>
      <c r="R182" s="32">
        <v>46264.0</v>
      </c>
      <c r="S182" s="54"/>
      <c r="T182" s="55"/>
      <c r="U182" s="11" t="s">
        <v>54</v>
      </c>
      <c r="V182" s="56"/>
      <c r="W182" s="12" t="s">
        <v>56</v>
      </c>
      <c r="X182" s="11" t="s">
        <v>54</v>
      </c>
      <c r="Y182" s="54"/>
      <c r="Z182" s="16"/>
      <c r="AA182" s="19"/>
      <c r="AB182" s="54"/>
      <c r="AC182" s="12" t="str">
        <f t="shared" si="2"/>
        <v>RB056T05</v>
      </c>
    </row>
    <row r="183" ht="18.0" customHeight="1">
      <c r="A183" s="11">
        <f t="shared" si="1"/>
        <v>180</v>
      </c>
      <c r="B183" s="12" t="s">
        <v>245</v>
      </c>
      <c r="C183" s="11" t="s">
        <v>444</v>
      </c>
      <c r="D183" s="12" t="s">
        <v>45</v>
      </c>
      <c r="E183" s="12" t="s">
        <v>47</v>
      </c>
      <c r="F183" s="12" t="s">
        <v>600</v>
      </c>
      <c r="G183" s="13" t="s">
        <v>601</v>
      </c>
      <c r="H183" s="11" t="s">
        <v>249</v>
      </c>
      <c r="I183" s="52">
        <v>46382.0</v>
      </c>
      <c r="J183" s="52">
        <v>46386.0</v>
      </c>
      <c r="K183" s="53"/>
      <c r="L183" s="53"/>
      <c r="M183" s="12" t="s">
        <v>602</v>
      </c>
      <c r="N183" s="11" t="s">
        <v>54</v>
      </c>
      <c r="O183" s="11" t="s">
        <v>76</v>
      </c>
      <c r="P183" s="11" t="s">
        <v>251</v>
      </c>
      <c r="Q183" s="54"/>
      <c r="R183" s="32">
        <v>46264.0</v>
      </c>
      <c r="S183" s="54"/>
      <c r="T183" s="55"/>
      <c r="U183" s="11" t="s">
        <v>54</v>
      </c>
      <c r="V183" s="56"/>
      <c r="W183" s="12" t="s">
        <v>56</v>
      </c>
      <c r="X183" s="11" t="s">
        <v>54</v>
      </c>
      <c r="Y183" s="54"/>
      <c r="Z183" s="16"/>
      <c r="AA183" s="19"/>
      <c r="AB183" s="54"/>
      <c r="AC183" s="12" t="str">
        <f t="shared" si="2"/>
        <v>RB056T06</v>
      </c>
    </row>
    <row r="184" ht="18.0" customHeight="1">
      <c r="A184" s="11">
        <f t="shared" si="1"/>
        <v>181</v>
      </c>
      <c r="B184" s="12" t="s">
        <v>245</v>
      </c>
      <c r="C184" s="11" t="s">
        <v>444</v>
      </c>
      <c r="D184" s="12" t="s">
        <v>45</v>
      </c>
      <c r="E184" s="12" t="s">
        <v>47</v>
      </c>
      <c r="F184" s="12" t="s">
        <v>603</v>
      </c>
      <c r="G184" s="13" t="s">
        <v>604</v>
      </c>
      <c r="H184" s="11" t="s">
        <v>249</v>
      </c>
      <c r="I184" s="52">
        <v>46386.0</v>
      </c>
      <c r="J184" s="52">
        <v>46387.0</v>
      </c>
      <c r="K184" s="53"/>
      <c r="L184" s="53"/>
      <c r="M184" s="12" t="s">
        <v>605</v>
      </c>
      <c r="N184" s="11" t="s">
        <v>54</v>
      </c>
      <c r="O184" s="11" t="s">
        <v>76</v>
      </c>
      <c r="P184" s="11" t="s">
        <v>251</v>
      </c>
      <c r="Q184" s="54"/>
      <c r="R184" s="32">
        <v>46264.0</v>
      </c>
      <c r="S184" s="54"/>
      <c r="T184" s="55"/>
      <c r="U184" s="11" t="s">
        <v>54</v>
      </c>
      <c r="V184" s="56"/>
      <c r="W184" s="12" t="s">
        <v>56</v>
      </c>
      <c r="X184" s="11" t="s">
        <v>54</v>
      </c>
      <c r="Y184" s="54"/>
      <c r="Z184" s="16"/>
      <c r="AA184" s="19"/>
      <c r="AB184" s="54"/>
      <c r="AC184" s="12" t="str">
        <f t="shared" si="2"/>
        <v>RB057M01</v>
      </c>
    </row>
    <row r="185" ht="18.0" customHeight="1">
      <c r="A185" s="11">
        <f t="shared" si="1"/>
        <v>182</v>
      </c>
      <c r="B185" s="12" t="s">
        <v>245</v>
      </c>
      <c r="C185" s="11" t="s">
        <v>444</v>
      </c>
      <c r="D185" s="12" t="s">
        <v>45</v>
      </c>
      <c r="E185" s="12" t="s">
        <v>47</v>
      </c>
      <c r="F185" s="12" t="s">
        <v>606</v>
      </c>
      <c r="G185" s="13" t="s">
        <v>607</v>
      </c>
      <c r="H185" s="11" t="s">
        <v>249</v>
      </c>
      <c r="I185" s="52">
        <v>46386.0</v>
      </c>
      <c r="J185" s="52">
        <v>46387.0</v>
      </c>
      <c r="K185" s="53"/>
      <c r="L185" s="53"/>
      <c r="M185" s="12" t="s">
        <v>608</v>
      </c>
      <c r="N185" s="11" t="s">
        <v>54</v>
      </c>
      <c r="O185" s="11" t="s">
        <v>76</v>
      </c>
      <c r="P185" s="11" t="s">
        <v>251</v>
      </c>
      <c r="Q185" s="54"/>
      <c r="R185" s="32">
        <v>46264.0</v>
      </c>
      <c r="S185" s="54"/>
      <c r="T185" s="55"/>
      <c r="U185" s="11" t="s">
        <v>54</v>
      </c>
      <c r="V185" s="56"/>
      <c r="W185" s="12" t="s">
        <v>56</v>
      </c>
      <c r="X185" s="11" t="s">
        <v>54</v>
      </c>
      <c r="Y185" s="54"/>
      <c r="Z185" s="16"/>
      <c r="AA185" s="19"/>
      <c r="AB185" s="54"/>
      <c r="AC185" s="12" t="str">
        <f t="shared" si="2"/>
        <v>RB057T01</v>
      </c>
    </row>
    <row r="186" ht="18.0" customHeight="1">
      <c r="A186" s="11">
        <f t="shared" si="1"/>
        <v>183</v>
      </c>
      <c r="B186" s="12" t="s">
        <v>245</v>
      </c>
      <c r="C186" s="11" t="s">
        <v>444</v>
      </c>
      <c r="D186" s="12" t="s">
        <v>45</v>
      </c>
      <c r="E186" s="12" t="s">
        <v>47</v>
      </c>
      <c r="F186" s="12" t="s">
        <v>609</v>
      </c>
      <c r="G186" s="13" t="s">
        <v>610</v>
      </c>
      <c r="H186" s="11" t="s">
        <v>249</v>
      </c>
      <c r="I186" s="52">
        <v>46386.0</v>
      </c>
      <c r="J186" s="52">
        <v>46387.0</v>
      </c>
      <c r="K186" s="53"/>
      <c r="L186" s="53"/>
      <c r="M186" s="12" t="s">
        <v>611</v>
      </c>
      <c r="N186" s="11" t="s">
        <v>54</v>
      </c>
      <c r="O186" s="11" t="s">
        <v>76</v>
      </c>
      <c r="P186" s="11" t="s">
        <v>251</v>
      </c>
      <c r="Q186" s="54"/>
      <c r="R186" s="32">
        <v>46264.0</v>
      </c>
      <c r="S186" s="54"/>
      <c r="T186" s="55"/>
      <c r="U186" s="11" t="s">
        <v>54</v>
      </c>
      <c r="V186" s="56"/>
      <c r="W186" s="12" t="s">
        <v>56</v>
      </c>
      <c r="X186" s="11" t="s">
        <v>54</v>
      </c>
      <c r="Y186" s="54"/>
      <c r="Z186" s="16"/>
      <c r="AA186" s="19"/>
      <c r="AB186" s="54"/>
      <c r="AC186" s="12" t="str">
        <f t="shared" si="2"/>
        <v>RB057T02</v>
      </c>
    </row>
    <row r="187" ht="18.0" customHeight="1">
      <c r="A187" s="11">
        <f t="shared" si="1"/>
        <v>184</v>
      </c>
      <c r="B187" s="12" t="s">
        <v>245</v>
      </c>
      <c r="C187" s="11" t="s">
        <v>444</v>
      </c>
      <c r="D187" s="12" t="s">
        <v>45</v>
      </c>
      <c r="E187" s="12" t="s">
        <v>47</v>
      </c>
      <c r="F187" s="12" t="s">
        <v>612</v>
      </c>
      <c r="G187" s="13" t="s">
        <v>613</v>
      </c>
      <c r="H187" s="11" t="s">
        <v>249</v>
      </c>
      <c r="I187" s="52">
        <v>46386.0</v>
      </c>
      <c r="J187" s="52">
        <v>46387.0</v>
      </c>
      <c r="K187" s="53"/>
      <c r="L187" s="53"/>
      <c r="M187" s="12" t="s">
        <v>614</v>
      </c>
      <c r="N187" s="11" t="s">
        <v>54</v>
      </c>
      <c r="O187" s="11" t="s">
        <v>76</v>
      </c>
      <c r="P187" s="11" t="s">
        <v>251</v>
      </c>
      <c r="Q187" s="54"/>
      <c r="R187" s="32">
        <v>46264.0</v>
      </c>
      <c r="S187" s="54"/>
      <c r="T187" s="55"/>
      <c r="U187" s="11" t="s">
        <v>54</v>
      </c>
      <c r="V187" s="56"/>
      <c r="W187" s="12" t="s">
        <v>56</v>
      </c>
      <c r="X187" s="11" t="s">
        <v>54</v>
      </c>
      <c r="Y187" s="54"/>
      <c r="Z187" s="16"/>
      <c r="AA187" s="19"/>
      <c r="AB187" s="54"/>
      <c r="AC187" s="12" t="str">
        <f t="shared" si="2"/>
        <v>RB057T03</v>
      </c>
    </row>
    <row r="188" ht="18.0" customHeight="1">
      <c r="A188" s="11">
        <f t="shared" si="1"/>
        <v>185</v>
      </c>
      <c r="B188" s="12" t="s">
        <v>245</v>
      </c>
      <c r="C188" s="11" t="s">
        <v>444</v>
      </c>
      <c r="D188" s="12" t="s">
        <v>45</v>
      </c>
      <c r="E188" s="12" t="s">
        <v>47</v>
      </c>
      <c r="F188" s="12" t="s">
        <v>615</v>
      </c>
      <c r="G188" s="13" t="s">
        <v>616</v>
      </c>
      <c r="H188" s="11" t="s">
        <v>249</v>
      </c>
      <c r="I188" s="52">
        <v>46386.0</v>
      </c>
      <c r="J188" s="52">
        <v>46387.0</v>
      </c>
      <c r="K188" s="53"/>
      <c r="L188" s="53"/>
      <c r="M188" s="12" t="s">
        <v>617</v>
      </c>
      <c r="N188" s="11" t="s">
        <v>54</v>
      </c>
      <c r="O188" s="11" t="s">
        <v>76</v>
      </c>
      <c r="P188" s="11" t="s">
        <v>251</v>
      </c>
      <c r="Q188" s="54"/>
      <c r="R188" s="32">
        <v>46264.0</v>
      </c>
      <c r="S188" s="54"/>
      <c r="T188" s="55"/>
      <c r="U188" s="11" t="s">
        <v>54</v>
      </c>
      <c r="V188" s="56"/>
      <c r="W188" s="12" t="s">
        <v>56</v>
      </c>
      <c r="X188" s="11" t="s">
        <v>54</v>
      </c>
      <c r="Y188" s="54"/>
      <c r="Z188" s="16"/>
      <c r="AA188" s="19"/>
      <c r="AB188" s="54"/>
      <c r="AC188" s="12" t="str">
        <f t="shared" si="2"/>
        <v>RB057T04</v>
      </c>
    </row>
    <row r="189" ht="18.0" customHeight="1">
      <c r="A189" s="11">
        <f t="shared" si="1"/>
        <v>186</v>
      </c>
      <c r="B189" s="12" t="s">
        <v>245</v>
      </c>
      <c r="C189" s="11" t="s">
        <v>444</v>
      </c>
      <c r="D189" s="12" t="s">
        <v>45</v>
      </c>
      <c r="E189" s="12" t="s">
        <v>47</v>
      </c>
      <c r="F189" s="12" t="s">
        <v>618</v>
      </c>
      <c r="G189" s="13" t="s">
        <v>619</v>
      </c>
      <c r="H189" s="11" t="s">
        <v>249</v>
      </c>
      <c r="I189" s="52">
        <v>46386.0</v>
      </c>
      <c r="J189" s="52">
        <v>46387.0</v>
      </c>
      <c r="K189" s="53"/>
      <c r="L189" s="53"/>
      <c r="M189" s="12" t="s">
        <v>620</v>
      </c>
      <c r="N189" s="11" t="s">
        <v>54</v>
      </c>
      <c r="O189" s="11" t="s">
        <v>76</v>
      </c>
      <c r="P189" s="11" t="s">
        <v>251</v>
      </c>
      <c r="Q189" s="54"/>
      <c r="R189" s="32">
        <v>46264.0</v>
      </c>
      <c r="S189" s="54"/>
      <c r="T189" s="55"/>
      <c r="U189" s="11" t="s">
        <v>54</v>
      </c>
      <c r="V189" s="56"/>
      <c r="W189" s="12" t="s">
        <v>56</v>
      </c>
      <c r="X189" s="11" t="s">
        <v>54</v>
      </c>
      <c r="Y189" s="54"/>
      <c r="Z189" s="16"/>
      <c r="AA189" s="19"/>
      <c r="AB189" s="54"/>
      <c r="AC189" s="12" t="str">
        <f t="shared" si="2"/>
        <v>RB057T05</v>
      </c>
    </row>
    <row r="190" ht="18.0" customHeight="1">
      <c r="A190" s="11">
        <f t="shared" si="1"/>
        <v>187</v>
      </c>
      <c r="B190" s="12" t="s">
        <v>245</v>
      </c>
      <c r="C190" s="11" t="s">
        <v>444</v>
      </c>
      <c r="D190" s="12" t="s">
        <v>45</v>
      </c>
      <c r="E190" s="12" t="s">
        <v>47</v>
      </c>
      <c r="F190" s="12" t="s">
        <v>621</v>
      </c>
      <c r="G190" s="13" t="s">
        <v>622</v>
      </c>
      <c r="H190" s="11" t="s">
        <v>249</v>
      </c>
      <c r="I190" s="52">
        <v>46386.0</v>
      </c>
      <c r="J190" s="52">
        <v>46387.0</v>
      </c>
      <c r="K190" s="53"/>
      <c r="L190" s="53"/>
      <c r="M190" s="12" t="s">
        <v>623</v>
      </c>
      <c r="N190" s="11" t="s">
        <v>54</v>
      </c>
      <c r="O190" s="11" t="s">
        <v>76</v>
      </c>
      <c r="P190" s="11" t="s">
        <v>251</v>
      </c>
      <c r="Q190" s="54"/>
      <c r="R190" s="32">
        <v>46264.0</v>
      </c>
      <c r="S190" s="54"/>
      <c r="T190" s="55"/>
      <c r="U190" s="11" t="s">
        <v>54</v>
      </c>
      <c r="V190" s="56"/>
      <c r="W190" s="12" t="s">
        <v>56</v>
      </c>
      <c r="X190" s="11" t="s">
        <v>54</v>
      </c>
      <c r="Y190" s="54"/>
      <c r="Z190" s="16"/>
      <c r="AA190" s="19"/>
      <c r="AB190" s="54"/>
      <c r="AC190" s="12" t="str">
        <f t="shared" si="2"/>
        <v>RB057T06</v>
      </c>
    </row>
    <row r="191" ht="18.0" customHeight="1">
      <c r="A191" s="11">
        <f t="shared" si="1"/>
        <v>188</v>
      </c>
      <c r="B191" s="12" t="s">
        <v>245</v>
      </c>
      <c r="C191" s="11" t="s">
        <v>444</v>
      </c>
      <c r="D191" s="12" t="s">
        <v>45</v>
      </c>
      <c r="E191" s="12" t="s">
        <v>47</v>
      </c>
      <c r="F191" s="12" t="s">
        <v>624</v>
      </c>
      <c r="G191" s="31" t="s">
        <v>625</v>
      </c>
      <c r="H191" s="11" t="s">
        <v>447</v>
      </c>
      <c r="I191" s="52">
        <v>46337.0</v>
      </c>
      <c r="J191" s="52">
        <v>46338.0</v>
      </c>
      <c r="K191" s="53"/>
      <c r="L191" s="53"/>
      <c r="M191" s="12" t="s">
        <v>626</v>
      </c>
      <c r="N191" s="11" t="s">
        <v>54</v>
      </c>
      <c r="O191" s="11" t="s">
        <v>76</v>
      </c>
      <c r="P191" s="11" t="s">
        <v>251</v>
      </c>
      <c r="Q191" s="54"/>
      <c r="R191" s="32">
        <v>46264.0</v>
      </c>
      <c r="S191" s="54"/>
      <c r="T191" s="55"/>
      <c r="U191" s="11" t="s">
        <v>54</v>
      </c>
      <c r="V191" s="56"/>
      <c r="W191" s="12" t="s">
        <v>56</v>
      </c>
      <c r="X191" s="11" t="s">
        <v>82</v>
      </c>
      <c r="Y191" s="54"/>
      <c r="Z191" s="16"/>
      <c r="AA191" s="19"/>
      <c r="AB191" s="54"/>
      <c r="AC191" s="12" t="str">
        <f t="shared" si="2"/>
        <v>RB052M01</v>
      </c>
    </row>
    <row r="192" ht="18.0" customHeight="1">
      <c r="A192" s="11">
        <f t="shared" si="1"/>
        <v>189</v>
      </c>
      <c r="B192" s="12" t="s">
        <v>245</v>
      </c>
      <c r="C192" s="11" t="s">
        <v>444</v>
      </c>
      <c r="D192" s="12" t="s">
        <v>45</v>
      </c>
      <c r="E192" s="12" t="s">
        <v>47</v>
      </c>
      <c r="F192" s="12" t="s">
        <v>627</v>
      </c>
      <c r="G192" s="13" t="s">
        <v>628</v>
      </c>
      <c r="H192" s="11" t="s">
        <v>447</v>
      </c>
      <c r="I192" s="52">
        <v>46339.0</v>
      </c>
      <c r="J192" s="52">
        <v>46340.0</v>
      </c>
      <c r="K192" s="53"/>
      <c r="L192" s="53"/>
      <c r="M192" s="12" t="s">
        <v>629</v>
      </c>
      <c r="N192" s="11" t="s">
        <v>54</v>
      </c>
      <c r="O192" s="11" t="s">
        <v>76</v>
      </c>
      <c r="P192" s="11" t="s">
        <v>251</v>
      </c>
      <c r="Q192" s="54"/>
      <c r="R192" s="32">
        <v>46264.0</v>
      </c>
      <c r="S192" s="54"/>
      <c r="T192" s="55"/>
      <c r="U192" s="11" t="s">
        <v>54</v>
      </c>
      <c r="V192" s="56"/>
      <c r="W192" s="12" t="s">
        <v>56</v>
      </c>
      <c r="X192" s="11" t="s">
        <v>82</v>
      </c>
      <c r="Y192" s="54"/>
      <c r="Z192" s="16"/>
      <c r="AA192" s="19"/>
      <c r="AB192" s="54"/>
      <c r="AC192" s="12" t="str">
        <f t="shared" si="2"/>
        <v>RB053M01</v>
      </c>
    </row>
    <row r="193" ht="18.0" customHeight="1">
      <c r="A193" s="11">
        <f t="shared" si="1"/>
        <v>190</v>
      </c>
      <c r="B193" s="12" t="s">
        <v>245</v>
      </c>
      <c r="C193" s="11" t="s">
        <v>444</v>
      </c>
      <c r="D193" s="12" t="s">
        <v>45</v>
      </c>
      <c r="E193" s="12" t="s">
        <v>47</v>
      </c>
      <c r="F193" s="12" t="s">
        <v>630</v>
      </c>
      <c r="G193" s="13" t="s">
        <v>631</v>
      </c>
      <c r="H193" s="11" t="s">
        <v>447</v>
      </c>
      <c r="I193" s="52">
        <v>46270.0</v>
      </c>
      <c r="J193" s="52">
        <v>46271.0</v>
      </c>
      <c r="K193" s="53"/>
      <c r="L193" s="53"/>
      <c r="M193" s="12" t="s">
        <v>632</v>
      </c>
      <c r="N193" s="11" t="s">
        <v>54</v>
      </c>
      <c r="O193" s="11" t="s">
        <v>85</v>
      </c>
      <c r="P193" s="11" t="s">
        <v>251</v>
      </c>
      <c r="Q193" s="54"/>
      <c r="R193" s="32">
        <v>46264.0</v>
      </c>
      <c r="S193" s="54"/>
      <c r="T193" s="55"/>
      <c r="U193" s="11" t="s">
        <v>54</v>
      </c>
      <c r="V193" s="56"/>
      <c r="W193" s="12" t="s">
        <v>56</v>
      </c>
      <c r="X193" s="11" t="s">
        <v>82</v>
      </c>
      <c r="Y193" s="54"/>
      <c r="Z193" s="16"/>
      <c r="AA193" s="19"/>
      <c r="AB193" s="54"/>
      <c r="AC193" s="12" t="str">
        <f t="shared" si="2"/>
        <v>RB061M01</v>
      </c>
    </row>
    <row r="194" ht="18.0" customHeight="1">
      <c r="A194" s="11">
        <f t="shared" si="1"/>
        <v>191</v>
      </c>
      <c r="B194" s="12" t="s">
        <v>245</v>
      </c>
      <c r="C194" s="11" t="s">
        <v>444</v>
      </c>
      <c r="D194" s="12" t="s">
        <v>45</v>
      </c>
      <c r="E194" s="12" t="s">
        <v>47</v>
      </c>
      <c r="F194" s="12" t="s">
        <v>633</v>
      </c>
      <c r="G194" s="13" t="s">
        <v>634</v>
      </c>
      <c r="H194" s="11" t="s">
        <v>447</v>
      </c>
      <c r="I194" s="52">
        <v>46274.0</v>
      </c>
      <c r="J194" s="52">
        <v>46275.0</v>
      </c>
      <c r="K194" s="53"/>
      <c r="L194" s="53"/>
      <c r="M194" s="12" t="s">
        <v>635</v>
      </c>
      <c r="N194" s="11" t="s">
        <v>54</v>
      </c>
      <c r="O194" s="11" t="s">
        <v>85</v>
      </c>
      <c r="P194" s="11" t="s">
        <v>251</v>
      </c>
      <c r="Q194" s="54"/>
      <c r="R194" s="32">
        <v>46264.0</v>
      </c>
      <c r="S194" s="54"/>
      <c r="T194" s="55"/>
      <c r="U194" s="11" t="s">
        <v>54</v>
      </c>
      <c r="V194" s="56"/>
      <c r="W194" s="12" t="s">
        <v>56</v>
      </c>
      <c r="X194" s="11" t="s">
        <v>82</v>
      </c>
      <c r="Y194" s="54"/>
      <c r="Z194" s="16"/>
      <c r="AA194" s="19"/>
      <c r="AB194" s="54"/>
      <c r="AC194" s="12" t="str">
        <f t="shared" si="2"/>
        <v>RB061T01</v>
      </c>
    </row>
    <row r="195" ht="18.0" customHeight="1">
      <c r="A195" s="11">
        <f t="shared" si="1"/>
        <v>192</v>
      </c>
      <c r="B195" s="12" t="s">
        <v>245</v>
      </c>
      <c r="C195" s="11" t="s">
        <v>444</v>
      </c>
      <c r="D195" s="12" t="s">
        <v>45</v>
      </c>
      <c r="E195" s="12" t="s">
        <v>47</v>
      </c>
      <c r="F195" s="12" t="s">
        <v>636</v>
      </c>
      <c r="G195" s="13" t="s">
        <v>637</v>
      </c>
      <c r="H195" s="11" t="s">
        <v>447</v>
      </c>
      <c r="I195" s="52">
        <v>46276.0</v>
      </c>
      <c r="J195" s="52">
        <v>46277.0</v>
      </c>
      <c r="K195" s="53"/>
      <c r="L195" s="53"/>
      <c r="M195" s="12" t="s">
        <v>638</v>
      </c>
      <c r="N195" s="11" t="s">
        <v>54</v>
      </c>
      <c r="O195" s="11" t="s">
        <v>85</v>
      </c>
      <c r="P195" s="11" t="s">
        <v>251</v>
      </c>
      <c r="Q195" s="54"/>
      <c r="R195" s="32">
        <v>46264.0</v>
      </c>
      <c r="S195" s="54"/>
      <c r="T195" s="55"/>
      <c r="U195" s="11" t="s">
        <v>54</v>
      </c>
      <c r="V195" s="56"/>
      <c r="W195" s="12" t="s">
        <v>56</v>
      </c>
      <c r="X195" s="11" t="s">
        <v>82</v>
      </c>
      <c r="Y195" s="54"/>
      <c r="Z195" s="16"/>
      <c r="AA195" s="19"/>
      <c r="AB195" s="54"/>
      <c r="AC195" s="12" t="str">
        <f t="shared" si="2"/>
        <v>RB062M01</v>
      </c>
    </row>
    <row r="196" ht="18.0" customHeight="1">
      <c r="A196" s="11">
        <f t="shared" si="1"/>
        <v>193</v>
      </c>
      <c r="B196" s="12" t="s">
        <v>245</v>
      </c>
      <c r="C196" s="11" t="s">
        <v>444</v>
      </c>
      <c r="D196" s="12" t="s">
        <v>45</v>
      </c>
      <c r="E196" s="12" t="s">
        <v>47</v>
      </c>
      <c r="F196" s="12" t="s">
        <v>639</v>
      </c>
      <c r="G196" s="13" t="s">
        <v>640</v>
      </c>
      <c r="H196" s="11" t="s">
        <v>447</v>
      </c>
      <c r="I196" s="52">
        <v>46278.0</v>
      </c>
      <c r="J196" s="52">
        <v>46281.0</v>
      </c>
      <c r="K196" s="53"/>
      <c r="L196" s="53"/>
      <c r="M196" s="12" t="s">
        <v>641</v>
      </c>
      <c r="N196" s="11" t="s">
        <v>54</v>
      </c>
      <c r="O196" s="11" t="s">
        <v>85</v>
      </c>
      <c r="P196" s="11" t="s">
        <v>251</v>
      </c>
      <c r="Q196" s="54"/>
      <c r="R196" s="32">
        <v>46264.0</v>
      </c>
      <c r="S196" s="54"/>
      <c r="T196" s="55"/>
      <c r="U196" s="11" t="s">
        <v>54</v>
      </c>
      <c r="V196" s="56"/>
      <c r="W196" s="12" t="s">
        <v>56</v>
      </c>
      <c r="X196" s="11" t="s">
        <v>82</v>
      </c>
      <c r="Y196" s="54"/>
      <c r="Z196" s="16"/>
      <c r="AA196" s="19"/>
      <c r="AB196" s="54"/>
      <c r="AC196" s="12" t="str">
        <f t="shared" si="2"/>
        <v>RB066M01</v>
      </c>
    </row>
    <row r="197" ht="18.0" customHeight="1">
      <c r="A197" s="11">
        <f t="shared" si="1"/>
        <v>194</v>
      </c>
      <c r="B197" s="12" t="s">
        <v>245</v>
      </c>
      <c r="C197" s="11" t="s">
        <v>444</v>
      </c>
      <c r="D197" s="12" t="s">
        <v>45</v>
      </c>
      <c r="E197" s="12" t="s">
        <v>47</v>
      </c>
      <c r="F197" s="12" t="s">
        <v>642</v>
      </c>
      <c r="G197" s="13" t="s">
        <v>643</v>
      </c>
      <c r="H197" s="11" t="s">
        <v>447</v>
      </c>
      <c r="I197" s="52">
        <v>46282.0</v>
      </c>
      <c r="J197" s="52">
        <v>46283.0</v>
      </c>
      <c r="K197" s="53"/>
      <c r="L197" s="53"/>
      <c r="M197" s="12" t="s">
        <v>644</v>
      </c>
      <c r="N197" s="11" t="s">
        <v>54</v>
      </c>
      <c r="O197" s="11" t="s">
        <v>85</v>
      </c>
      <c r="P197" s="11" t="s">
        <v>251</v>
      </c>
      <c r="Q197" s="54"/>
      <c r="R197" s="32">
        <v>46264.0</v>
      </c>
      <c r="S197" s="54"/>
      <c r="T197" s="55"/>
      <c r="U197" s="11" t="s">
        <v>54</v>
      </c>
      <c r="V197" s="56"/>
      <c r="W197" s="12" t="s">
        <v>56</v>
      </c>
      <c r="X197" s="11" t="s">
        <v>82</v>
      </c>
      <c r="Y197" s="54"/>
      <c r="Z197" s="16"/>
      <c r="AA197" s="19"/>
      <c r="AB197" s="54"/>
      <c r="AC197" s="12" t="str">
        <f t="shared" si="2"/>
        <v>RB066T01</v>
      </c>
    </row>
    <row r="198" ht="18.0" customHeight="1">
      <c r="A198" s="11">
        <f t="shared" si="1"/>
        <v>195</v>
      </c>
      <c r="B198" s="12" t="s">
        <v>245</v>
      </c>
      <c r="C198" s="11" t="s">
        <v>444</v>
      </c>
      <c r="D198" s="12" t="s">
        <v>45</v>
      </c>
      <c r="E198" s="12" t="s">
        <v>47</v>
      </c>
      <c r="F198" s="12" t="s">
        <v>645</v>
      </c>
      <c r="G198" s="13" t="s">
        <v>646</v>
      </c>
      <c r="H198" s="11" t="s">
        <v>447</v>
      </c>
      <c r="I198" s="52">
        <v>46284.0</v>
      </c>
      <c r="J198" s="52">
        <v>46285.0</v>
      </c>
      <c r="K198" s="53"/>
      <c r="L198" s="53"/>
      <c r="M198" s="12" t="s">
        <v>647</v>
      </c>
      <c r="N198" s="11" t="s">
        <v>54</v>
      </c>
      <c r="O198" s="11" t="s">
        <v>85</v>
      </c>
      <c r="P198" s="11" t="s">
        <v>251</v>
      </c>
      <c r="Q198" s="54"/>
      <c r="R198" s="32">
        <v>46264.0</v>
      </c>
      <c r="S198" s="54"/>
      <c r="T198" s="55"/>
      <c r="U198" s="11" t="s">
        <v>54</v>
      </c>
      <c r="V198" s="56"/>
      <c r="W198" s="12" t="s">
        <v>56</v>
      </c>
      <c r="X198" s="11" t="s">
        <v>82</v>
      </c>
      <c r="Y198" s="54"/>
      <c r="Z198" s="16"/>
      <c r="AA198" s="19"/>
      <c r="AB198" s="54"/>
      <c r="AC198" s="12" t="str">
        <f t="shared" si="2"/>
        <v>RB067M01</v>
      </c>
    </row>
    <row r="199" ht="18.0" customHeight="1">
      <c r="A199" s="11">
        <f t="shared" si="1"/>
        <v>196</v>
      </c>
      <c r="B199" s="12" t="s">
        <v>245</v>
      </c>
      <c r="C199" s="11" t="s">
        <v>444</v>
      </c>
      <c r="D199" s="12" t="s">
        <v>45</v>
      </c>
      <c r="E199" s="12" t="s">
        <v>47</v>
      </c>
      <c r="F199" s="12" t="s">
        <v>648</v>
      </c>
      <c r="G199" s="31" t="s">
        <v>649</v>
      </c>
      <c r="H199" s="11" t="s">
        <v>447</v>
      </c>
      <c r="I199" s="52">
        <v>46327.0</v>
      </c>
      <c r="J199" s="52">
        <v>46330.0</v>
      </c>
      <c r="K199" s="53"/>
      <c r="L199" s="53"/>
      <c r="M199" s="12" t="s">
        <v>650</v>
      </c>
      <c r="N199" s="11" t="s">
        <v>54</v>
      </c>
      <c r="O199" s="11" t="s">
        <v>85</v>
      </c>
      <c r="P199" s="11" t="s">
        <v>251</v>
      </c>
      <c r="Q199" s="54"/>
      <c r="R199" s="32">
        <v>46264.0</v>
      </c>
      <c r="S199" s="54"/>
      <c r="T199" s="55"/>
      <c r="U199" s="11" t="s">
        <v>54</v>
      </c>
      <c r="V199" s="56"/>
      <c r="W199" s="12" t="s">
        <v>56</v>
      </c>
      <c r="X199" s="11" t="s">
        <v>82</v>
      </c>
      <c r="Y199" s="54"/>
      <c r="Z199" s="16"/>
      <c r="AA199" s="19"/>
      <c r="AB199" s="54"/>
      <c r="AC199" s="12" t="str">
        <f t="shared" si="2"/>
        <v>RB068M01</v>
      </c>
    </row>
    <row r="200" ht="18.0" customHeight="1">
      <c r="A200" s="11">
        <f t="shared" si="1"/>
        <v>197</v>
      </c>
      <c r="B200" s="12" t="s">
        <v>245</v>
      </c>
      <c r="C200" s="11" t="s">
        <v>444</v>
      </c>
      <c r="D200" s="12" t="s">
        <v>45</v>
      </c>
      <c r="E200" s="12" t="s">
        <v>47</v>
      </c>
      <c r="F200" s="12" t="s">
        <v>651</v>
      </c>
      <c r="G200" s="13" t="s">
        <v>652</v>
      </c>
      <c r="H200" s="11" t="s">
        <v>447</v>
      </c>
      <c r="I200" s="52">
        <v>46288.0</v>
      </c>
      <c r="J200" s="52">
        <v>46295.0</v>
      </c>
      <c r="K200" s="53"/>
      <c r="L200" s="53"/>
      <c r="M200" s="12" t="s">
        <v>653</v>
      </c>
      <c r="N200" s="11" t="s">
        <v>54</v>
      </c>
      <c r="O200" s="11" t="s">
        <v>85</v>
      </c>
      <c r="P200" s="11" t="s">
        <v>251</v>
      </c>
      <c r="Q200" s="54"/>
      <c r="R200" s="32">
        <v>46264.0</v>
      </c>
      <c r="S200" s="54"/>
      <c r="T200" s="55"/>
      <c r="U200" s="11" t="s">
        <v>54</v>
      </c>
      <c r="V200" s="56"/>
      <c r="W200" s="12" t="s">
        <v>56</v>
      </c>
      <c r="X200" s="11" t="s">
        <v>82</v>
      </c>
      <c r="Y200" s="54"/>
      <c r="Z200" s="16"/>
      <c r="AA200" s="19"/>
      <c r="AB200" s="54"/>
      <c r="AC200" s="12" t="str">
        <f t="shared" si="2"/>
        <v>RB063M01</v>
      </c>
    </row>
    <row r="201" ht="18.0" customHeight="1">
      <c r="A201" s="11">
        <f t="shared" si="1"/>
        <v>198</v>
      </c>
      <c r="B201" s="12" t="s">
        <v>245</v>
      </c>
      <c r="C201" s="11" t="s">
        <v>444</v>
      </c>
      <c r="D201" s="12" t="s">
        <v>45</v>
      </c>
      <c r="E201" s="12" t="s">
        <v>47</v>
      </c>
      <c r="F201" s="12" t="s">
        <v>654</v>
      </c>
      <c r="G201" s="13" t="s">
        <v>655</v>
      </c>
      <c r="H201" s="11" t="s">
        <v>447</v>
      </c>
      <c r="I201" s="52">
        <v>46296.0</v>
      </c>
      <c r="J201" s="52">
        <v>46297.0</v>
      </c>
      <c r="K201" s="53"/>
      <c r="L201" s="53"/>
      <c r="M201" s="12" t="s">
        <v>656</v>
      </c>
      <c r="N201" s="11" t="s">
        <v>54</v>
      </c>
      <c r="O201" s="11" t="s">
        <v>85</v>
      </c>
      <c r="P201" s="11" t="s">
        <v>251</v>
      </c>
      <c r="Q201" s="54"/>
      <c r="R201" s="32">
        <v>46264.0</v>
      </c>
      <c r="S201" s="54"/>
      <c r="T201" s="55"/>
      <c r="U201" s="11" t="s">
        <v>54</v>
      </c>
      <c r="V201" s="56"/>
      <c r="W201" s="12" t="s">
        <v>56</v>
      </c>
      <c r="X201" s="11" t="s">
        <v>82</v>
      </c>
      <c r="Y201" s="54"/>
      <c r="Z201" s="16"/>
      <c r="AA201" s="19"/>
      <c r="AB201" s="54"/>
      <c r="AC201" s="12" t="str">
        <f t="shared" si="2"/>
        <v>RB064M01</v>
      </c>
    </row>
    <row r="202" ht="18.0" customHeight="1">
      <c r="A202" s="11">
        <f t="shared" si="1"/>
        <v>199</v>
      </c>
      <c r="B202" s="12" t="s">
        <v>245</v>
      </c>
      <c r="C202" s="11" t="s">
        <v>444</v>
      </c>
      <c r="D202" s="12" t="s">
        <v>45</v>
      </c>
      <c r="E202" s="12" t="s">
        <v>47</v>
      </c>
      <c r="F202" s="12" t="s">
        <v>657</v>
      </c>
      <c r="G202" s="13" t="s">
        <v>658</v>
      </c>
      <c r="H202" s="11" t="s">
        <v>447</v>
      </c>
      <c r="I202" s="52">
        <v>46298.0</v>
      </c>
      <c r="J202" s="52">
        <v>46299.0</v>
      </c>
      <c r="K202" s="53"/>
      <c r="L202" s="53"/>
      <c r="M202" s="12" t="s">
        <v>659</v>
      </c>
      <c r="N202" s="11" t="s">
        <v>54</v>
      </c>
      <c r="O202" s="11" t="s">
        <v>85</v>
      </c>
      <c r="P202" s="11" t="s">
        <v>251</v>
      </c>
      <c r="Q202" s="54"/>
      <c r="R202" s="32">
        <v>46264.0</v>
      </c>
      <c r="S202" s="54"/>
      <c r="T202" s="55"/>
      <c r="U202" s="11" t="s">
        <v>54</v>
      </c>
      <c r="V202" s="56"/>
      <c r="W202" s="12" t="s">
        <v>56</v>
      </c>
      <c r="X202" s="11" t="s">
        <v>82</v>
      </c>
      <c r="Y202" s="54"/>
      <c r="Z202" s="16"/>
      <c r="AA202" s="19"/>
      <c r="AB202" s="54"/>
      <c r="AC202" s="12" t="str">
        <f t="shared" si="2"/>
        <v>RB064T01</v>
      </c>
    </row>
    <row r="203" ht="18.0" customHeight="1">
      <c r="A203" s="11">
        <f t="shared" si="1"/>
        <v>200</v>
      </c>
      <c r="B203" s="12" t="s">
        <v>245</v>
      </c>
      <c r="C203" s="11" t="s">
        <v>444</v>
      </c>
      <c r="D203" s="12" t="s">
        <v>45</v>
      </c>
      <c r="E203" s="12" t="s">
        <v>47</v>
      </c>
      <c r="F203" s="12" t="s">
        <v>660</v>
      </c>
      <c r="G203" s="13" t="s">
        <v>661</v>
      </c>
      <c r="H203" s="11" t="s">
        <v>447</v>
      </c>
      <c r="I203" s="52">
        <v>46302.0</v>
      </c>
      <c r="J203" s="52">
        <v>46303.0</v>
      </c>
      <c r="K203" s="53"/>
      <c r="L203" s="53"/>
      <c r="M203" s="12" t="s">
        <v>662</v>
      </c>
      <c r="N203" s="11" t="s">
        <v>54</v>
      </c>
      <c r="O203" s="11" t="s">
        <v>85</v>
      </c>
      <c r="P203" s="11" t="s">
        <v>251</v>
      </c>
      <c r="Q203" s="54"/>
      <c r="R203" s="32">
        <v>46264.0</v>
      </c>
      <c r="S203" s="54"/>
      <c r="T203" s="55"/>
      <c r="U203" s="11" t="s">
        <v>54</v>
      </c>
      <c r="V203" s="56"/>
      <c r="W203" s="12" t="s">
        <v>56</v>
      </c>
      <c r="X203" s="11" t="s">
        <v>82</v>
      </c>
      <c r="Y203" s="54"/>
      <c r="Z203" s="16"/>
      <c r="AA203" s="19"/>
      <c r="AB203" s="54"/>
      <c r="AC203" s="12" t="str">
        <f t="shared" si="2"/>
        <v>RB065M01</v>
      </c>
    </row>
    <row r="204" ht="18.0" customHeight="1">
      <c r="A204" s="11">
        <f t="shared" si="1"/>
        <v>201</v>
      </c>
      <c r="B204" s="12" t="s">
        <v>245</v>
      </c>
      <c r="C204" s="11" t="s">
        <v>444</v>
      </c>
      <c r="D204" s="12" t="s">
        <v>45</v>
      </c>
      <c r="E204" s="12" t="s">
        <v>47</v>
      </c>
      <c r="F204" s="12" t="s">
        <v>663</v>
      </c>
      <c r="G204" s="13" t="s">
        <v>664</v>
      </c>
      <c r="H204" s="11" t="s">
        <v>447</v>
      </c>
      <c r="I204" s="52">
        <v>46305.0</v>
      </c>
      <c r="J204" s="52">
        <v>46306.0</v>
      </c>
      <c r="K204" s="53"/>
      <c r="L204" s="53"/>
      <c r="M204" s="12" t="s">
        <v>665</v>
      </c>
      <c r="N204" s="11" t="s">
        <v>54</v>
      </c>
      <c r="O204" s="11" t="s">
        <v>85</v>
      </c>
      <c r="P204" s="11" t="s">
        <v>251</v>
      </c>
      <c r="Q204" s="54"/>
      <c r="R204" s="32">
        <v>46264.0</v>
      </c>
      <c r="S204" s="54"/>
      <c r="T204" s="55"/>
      <c r="U204" s="11" t="s">
        <v>54</v>
      </c>
      <c r="V204" s="56"/>
      <c r="W204" s="12" t="s">
        <v>56</v>
      </c>
      <c r="X204" s="11" t="s">
        <v>82</v>
      </c>
      <c r="Y204" s="54"/>
      <c r="Z204" s="16"/>
      <c r="AA204" s="19"/>
      <c r="AB204" s="54"/>
      <c r="AC204" s="12" t="str">
        <f t="shared" si="2"/>
        <v>RB065T01</v>
      </c>
    </row>
    <row r="205" ht="18.0" customHeight="1">
      <c r="A205" s="11">
        <f t="shared" si="1"/>
        <v>202</v>
      </c>
      <c r="B205" s="12" t="s">
        <v>245</v>
      </c>
      <c r="C205" s="11" t="s">
        <v>444</v>
      </c>
      <c r="D205" s="12" t="s">
        <v>45</v>
      </c>
      <c r="E205" s="12" t="s">
        <v>47</v>
      </c>
      <c r="F205" s="12" t="s">
        <v>666</v>
      </c>
      <c r="G205" s="13" t="s">
        <v>667</v>
      </c>
      <c r="H205" s="11" t="s">
        <v>447</v>
      </c>
      <c r="I205" s="52">
        <v>46302.0</v>
      </c>
      <c r="J205" s="52">
        <v>46303.0</v>
      </c>
      <c r="K205" s="53"/>
      <c r="L205" s="53"/>
      <c r="M205" s="12" t="s">
        <v>668</v>
      </c>
      <c r="N205" s="11" t="s">
        <v>54</v>
      </c>
      <c r="O205" s="11" t="s">
        <v>76</v>
      </c>
      <c r="P205" s="11" t="s">
        <v>251</v>
      </c>
      <c r="Q205" s="54"/>
      <c r="R205" s="32">
        <v>46264.0</v>
      </c>
      <c r="S205" s="54"/>
      <c r="T205" s="55"/>
      <c r="U205" s="11" t="s">
        <v>54</v>
      </c>
      <c r="V205" s="56"/>
      <c r="W205" s="12" t="s">
        <v>56</v>
      </c>
      <c r="X205" s="11" t="s">
        <v>54</v>
      </c>
      <c r="Y205" s="54"/>
      <c r="Z205" s="16"/>
      <c r="AA205" s="19"/>
      <c r="AB205" s="54"/>
      <c r="AC205" s="12" t="str">
        <f t="shared" si="2"/>
        <v>RB069M01</v>
      </c>
    </row>
    <row r="206" ht="18.0" customHeight="1">
      <c r="A206" s="11">
        <f t="shared" si="1"/>
        <v>203</v>
      </c>
      <c r="B206" s="12" t="s">
        <v>245</v>
      </c>
      <c r="C206" s="11" t="s">
        <v>444</v>
      </c>
      <c r="D206" s="12" t="s">
        <v>45</v>
      </c>
      <c r="E206" s="12" t="s">
        <v>47</v>
      </c>
      <c r="F206" s="12" t="s">
        <v>669</v>
      </c>
      <c r="G206" s="13" t="s">
        <v>420</v>
      </c>
      <c r="H206" s="11" t="s">
        <v>447</v>
      </c>
      <c r="I206" s="52">
        <v>46309.0</v>
      </c>
      <c r="J206" s="52">
        <v>46310.0</v>
      </c>
      <c r="K206" s="53"/>
      <c r="L206" s="53"/>
      <c r="M206" s="12" t="s">
        <v>670</v>
      </c>
      <c r="N206" s="11" t="s">
        <v>54</v>
      </c>
      <c r="O206" s="11" t="s">
        <v>76</v>
      </c>
      <c r="P206" s="11" t="s">
        <v>251</v>
      </c>
      <c r="Q206" s="54"/>
      <c r="R206" s="32">
        <v>46264.0</v>
      </c>
      <c r="S206" s="54"/>
      <c r="T206" s="55"/>
      <c r="U206" s="11" t="s">
        <v>54</v>
      </c>
      <c r="V206" s="56"/>
      <c r="W206" s="12" t="s">
        <v>56</v>
      </c>
      <c r="X206" s="59" t="s">
        <v>671</v>
      </c>
      <c r="Y206" s="11" t="s">
        <v>54</v>
      </c>
      <c r="Z206" s="16"/>
      <c r="AA206" s="19"/>
      <c r="AB206" s="54"/>
      <c r="AC206" s="12" t="str">
        <f t="shared" si="2"/>
        <v>RB071M01</v>
      </c>
    </row>
    <row r="207" ht="18.0" customHeight="1">
      <c r="A207" s="11">
        <f t="shared" si="1"/>
        <v>204</v>
      </c>
      <c r="B207" s="12" t="s">
        <v>245</v>
      </c>
      <c r="C207" s="11" t="s">
        <v>444</v>
      </c>
      <c r="D207" s="12" t="s">
        <v>45</v>
      </c>
      <c r="E207" s="12" t="s">
        <v>47</v>
      </c>
      <c r="F207" s="12" t="s">
        <v>672</v>
      </c>
      <c r="G207" s="13" t="s">
        <v>423</v>
      </c>
      <c r="H207" s="11" t="s">
        <v>447</v>
      </c>
      <c r="I207" s="52">
        <v>46311.0</v>
      </c>
      <c r="J207" s="52">
        <v>46312.0</v>
      </c>
      <c r="K207" s="53"/>
      <c r="L207" s="53"/>
      <c r="M207" s="12" t="s">
        <v>673</v>
      </c>
      <c r="N207" s="11" t="s">
        <v>54</v>
      </c>
      <c r="O207" s="11" t="s">
        <v>76</v>
      </c>
      <c r="P207" s="11" t="s">
        <v>251</v>
      </c>
      <c r="Q207" s="54"/>
      <c r="R207" s="32">
        <v>46264.0</v>
      </c>
      <c r="S207" s="54"/>
      <c r="T207" s="55"/>
      <c r="U207" s="11" t="s">
        <v>54</v>
      </c>
      <c r="V207" s="56"/>
      <c r="W207" s="12" t="s">
        <v>56</v>
      </c>
      <c r="X207" s="59" t="s">
        <v>674</v>
      </c>
      <c r="Y207" s="11" t="s">
        <v>54</v>
      </c>
      <c r="Z207" s="16"/>
      <c r="AA207" s="19"/>
      <c r="AB207" s="54"/>
      <c r="AC207" s="12" t="str">
        <f t="shared" si="2"/>
        <v>RB072M01</v>
      </c>
    </row>
    <row r="208" ht="18.0" customHeight="1">
      <c r="A208" s="11">
        <f t="shared" si="1"/>
        <v>205</v>
      </c>
      <c r="B208" s="12" t="s">
        <v>245</v>
      </c>
      <c r="C208" s="11" t="s">
        <v>444</v>
      </c>
      <c r="D208" s="12" t="s">
        <v>45</v>
      </c>
      <c r="E208" s="12" t="s">
        <v>47</v>
      </c>
      <c r="F208" s="12" t="s">
        <v>675</v>
      </c>
      <c r="G208" s="13" t="s">
        <v>426</v>
      </c>
      <c r="H208" s="11" t="s">
        <v>447</v>
      </c>
      <c r="I208" s="52">
        <v>46313.0</v>
      </c>
      <c r="J208" s="52">
        <v>46316.0</v>
      </c>
      <c r="K208" s="53"/>
      <c r="L208" s="53"/>
      <c r="M208" s="12" t="s">
        <v>676</v>
      </c>
      <c r="N208" s="11" t="s">
        <v>54</v>
      </c>
      <c r="O208" s="11" t="s">
        <v>76</v>
      </c>
      <c r="P208" s="11" t="s">
        <v>251</v>
      </c>
      <c r="Q208" s="54"/>
      <c r="R208" s="32">
        <v>46264.0</v>
      </c>
      <c r="S208" s="54"/>
      <c r="T208" s="55"/>
      <c r="U208" s="11" t="s">
        <v>54</v>
      </c>
      <c r="V208" s="56"/>
      <c r="W208" s="12" t="s">
        <v>56</v>
      </c>
      <c r="X208" s="59" t="s">
        <v>677</v>
      </c>
      <c r="Y208" s="11" t="s">
        <v>54</v>
      </c>
      <c r="Z208" s="16"/>
      <c r="AA208" s="19"/>
      <c r="AB208" s="54"/>
      <c r="AC208" s="12" t="str">
        <f t="shared" si="2"/>
        <v>RB072T01</v>
      </c>
    </row>
    <row r="209" ht="18.0" customHeight="1">
      <c r="A209" s="11">
        <f t="shared" si="1"/>
        <v>206</v>
      </c>
      <c r="B209" s="12" t="s">
        <v>245</v>
      </c>
      <c r="C209" s="11" t="s">
        <v>444</v>
      </c>
      <c r="D209" s="12" t="s">
        <v>45</v>
      </c>
      <c r="E209" s="12" t="s">
        <v>47</v>
      </c>
      <c r="F209" s="12" t="s">
        <v>678</v>
      </c>
      <c r="G209" s="13" t="s">
        <v>429</v>
      </c>
      <c r="H209" s="11" t="s">
        <v>447</v>
      </c>
      <c r="I209" s="52">
        <v>46317.0</v>
      </c>
      <c r="J209" s="52">
        <v>46318.0</v>
      </c>
      <c r="K209" s="53"/>
      <c r="L209" s="53"/>
      <c r="M209" s="12" t="s">
        <v>679</v>
      </c>
      <c r="N209" s="11" t="s">
        <v>54</v>
      </c>
      <c r="O209" s="11" t="s">
        <v>76</v>
      </c>
      <c r="P209" s="11" t="s">
        <v>251</v>
      </c>
      <c r="Q209" s="54"/>
      <c r="R209" s="32">
        <v>46264.0</v>
      </c>
      <c r="S209" s="54"/>
      <c r="T209" s="55"/>
      <c r="U209" s="11" t="s">
        <v>54</v>
      </c>
      <c r="V209" s="56"/>
      <c r="W209" s="12" t="s">
        <v>56</v>
      </c>
      <c r="X209" s="59" t="s">
        <v>680</v>
      </c>
      <c r="Y209" s="11" t="s">
        <v>54</v>
      </c>
      <c r="Z209" s="16"/>
      <c r="AA209" s="19"/>
      <c r="AB209" s="54"/>
      <c r="AC209" s="12" t="str">
        <f t="shared" si="2"/>
        <v>RB072T02</v>
      </c>
    </row>
    <row r="210" ht="18.0" customHeight="1">
      <c r="A210" s="11">
        <f t="shared" si="1"/>
        <v>207</v>
      </c>
      <c r="B210" s="12" t="s">
        <v>245</v>
      </c>
      <c r="C210" s="11" t="s">
        <v>444</v>
      </c>
      <c r="D210" s="12" t="s">
        <v>45</v>
      </c>
      <c r="E210" s="12" t="s">
        <v>47</v>
      </c>
      <c r="F210" s="12" t="s">
        <v>681</v>
      </c>
      <c r="G210" s="13" t="s">
        <v>432</v>
      </c>
      <c r="H210" s="11" t="s">
        <v>447</v>
      </c>
      <c r="I210" s="52">
        <v>46319.0</v>
      </c>
      <c r="J210" s="52">
        <v>46320.0</v>
      </c>
      <c r="K210" s="53"/>
      <c r="L210" s="53"/>
      <c r="M210" s="12" t="s">
        <v>682</v>
      </c>
      <c r="N210" s="11" t="s">
        <v>54</v>
      </c>
      <c r="O210" s="11" t="s">
        <v>76</v>
      </c>
      <c r="P210" s="11" t="s">
        <v>251</v>
      </c>
      <c r="Q210" s="54"/>
      <c r="R210" s="32">
        <v>46264.0</v>
      </c>
      <c r="S210" s="54"/>
      <c r="T210" s="55"/>
      <c r="U210" s="11" t="s">
        <v>54</v>
      </c>
      <c r="V210" s="56"/>
      <c r="W210" s="12" t="s">
        <v>56</v>
      </c>
      <c r="X210" s="59" t="s">
        <v>683</v>
      </c>
      <c r="Y210" s="11" t="s">
        <v>54</v>
      </c>
      <c r="Z210" s="16"/>
      <c r="AA210" s="19"/>
      <c r="AB210" s="54"/>
      <c r="AC210" s="12" t="str">
        <f t="shared" si="2"/>
        <v>RB073M01</v>
      </c>
    </row>
    <row r="211" ht="18.0" customHeight="1">
      <c r="A211" s="11">
        <f t="shared" si="1"/>
        <v>208</v>
      </c>
      <c r="B211" s="12" t="s">
        <v>245</v>
      </c>
      <c r="C211" s="11" t="s">
        <v>444</v>
      </c>
      <c r="D211" s="12" t="s">
        <v>45</v>
      </c>
      <c r="E211" s="12" t="s">
        <v>47</v>
      </c>
      <c r="F211" s="12" t="s">
        <v>684</v>
      </c>
      <c r="G211" s="13" t="s">
        <v>435</v>
      </c>
      <c r="H211" s="11" t="s">
        <v>447</v>
      </c>
      <c r="I211" s="52">
        <v>46323.0</v>
      </c>
      <c r="J211" s="52">
        <v>46324.0</v>
      </c>
      <c r="K211" s="53"/>
      <c r="L211" s="53"/>
      <c r="M211" s="12" t="s">
        <v>685</v>
      </c>
      <c r="N211" s="11" t="s">
        <v>54</v>
      </c>
      <c r="O211" s="11" t="s">
        <v>76</v>
      </c>
      <c r="P211" s="11" t="s">
        <v>251</v>
      </c>
      <c r="Q211" s="54"/>
      <c r="R211" s="32">
        <v>46264.0</v>
      </c>
      <c r="S211" s="54"/>
      <c r="T211" s="55"/>
      <c r="U211" s="11" t="s">
        <v>54</v>
      </c>
      <c r="V211" s="56"/>
      <c r="W211" s="12" t="s">
        <v>56</v>
      </c>
      <c r="X211" s="59" t="s">
        <v>686</v>
      </c>
      <c r="Y211" s="11" t="s">
        <v>54</v>
      </c>
      <c r="Z211" s="16"/>
      <c r="AA211" s="19"/>
      <c r="AB211" s="54"/>
      <c r="AC211" s="12" t="str">
        <f t="shared" si="2"/>
        <v>RB074M01</v>
      </c>
    </row>
    <row r="212" ht="18.0" customHeight="1">
      <c r="A212" s="11">
        <f t="shared" si="1"/>
        <v>209</v>
      </c>
      <c r="B212" s="12" t="s">
        <v>245</v>
      </c>
      <c r="C212" s="11" t="s">
        <v>444</v>
      </c>
      <c r="D212" s="12" t="s">
        <v>45</v>
      </c>
      <c r="E212" s="12" t="s">
        <v>47</v>
      </c>
      <c r="F212" s="12" t="s">
        <v>687</v>
      </c>
      <c r="G212" s="13" t="s">
        <v>439</v>
      </c>
      <c r="H212" s="11" t="s">
        <v>447</v>
      </c>
      <c r="I212" s="52">
        <v>46325.0</v>
      </c>
      <c r="J212" s="52">
        <v>46326.0</v>
      </c>
      <c r="K212" s="53"/>
      <c r="L212" s="53"/>
      <c r="M212" s="12" t="s">
        <v>688</v>
      </c>
      <c r="N212" s="11" t="s">
        <v>54</v>
      </c>
      <c r="O212" s="11" t="s">
        <v>76</v>
      </c>
      <c r="P212" s="11" t="s">
        <v>251</v>
      </c>
      <c r="Q212" s="54"/>
      <c r="R212" s="32">
        <v>46264.0</v>
      </c>
      <c r="S212" s="54"/>
      <c r="T212" s="55"/>
      <c r="U212" s="11" t="s">
        <v>54</v>
      </c>
      <c r="V212" s="56"/>
      <c r="W212" s="12" t="s">
        <v>56</v>
      </c>
      <c r="X212" s="59" t="s">
        <v>689</v>
      </c>
      <c r="Y212" s="11" t="s">
        <v>54</v>
      </c>
      <c r="Z212" s="16"/>
      <c r="AA212" s="19"/>
      <c r="AB212" s="54"/>
      <c r="AC212" s="12" t="str">
        <f t="shared" si="2"/>
        <v>RB074T01</v>
      </c>
    </row>
    <row r="213" ht="18.0" customHeight="1">
      <c r="A213" s="11">
        <f t="shared" si="1"/>
        <v>210</v>
      </c>
      <c r="B213" s="12" t="s">
        <v>245</v>
      </c>
      <c r="C213" s="11" t="s">
        <v>690</v>
      </c>
      <c r="D213" s="12" t="s">
        <v>45</v>
      </c>
      <c r="E213" s="12" t="s">
        <v>47</v>
      </c>
      <c r="F213" s="12" t="s">
        <v>691</v>
      </c>
      <c r="G213" s="13" t="s">
        <v>692</v>
      </c>
      <c r="H213" s="11" t="s">
        <v>457</v>
      </c>
      <c r="I213" s="52">
        <v>46369.0</v>
      </c>
      <c r="J213" s="52">
        <v>46372.0</v>
      </c>
      <c r="K213" s="53"/>
      <c r="L213" s="53"/>
      <c r="M213" s="12" t="s">
        <v>693</v>
      </c>
      <c r="N213" s="11" t="s">
        <v>54</v>
      </c>
      <c r="O213" s="11" t="s">
        <v>85</v>
      </c>
      <c r="P213" s="11" t="s">
        <v>251</v>
      </c>
      <c r="Q213" s="54"/>
      <c r="R213" s="32">
        <v>46264.0</v>
      </c>
      <c r="S213" s="54"/>
      <c r="T213" s="55"/>
      <c r="U213" s="11" t="s">
        <v>54</v>
      </c>
      <c r="V213" s="56"/>
      <c r="W213" s="12" t="s">
        <v>56</v>
      </c>
      <c r="X213" s="11" t="s">
        <v>54</v>
      </c>
      <c r="Y213" s="54"/>
      <c r="Z213" s="16"/>
      <c r="AA213" s="19"/>
      <c r="AB213" s="54"/>
      <c r="AC213" s="12" t="str">
        <f t="shared" si="2"/>
        <v>RD011M01</v>
      </c>
    </row>
    <row r="214" ht="18.0" customHeight="1">
      <c r="A214" s="11">
        <f t="shared" si="1"/>
        <v>211</v>
      </c>
      <c r="B214" s="12" t="s">
        <v>245</v>
      </c>
      <c r="C214" s="11" t="s">
        <v>690</v>
      </c>
      <c r="D214" s="12" t="s">
        <v>45</v>
      </c>
      <c r="E214" s="12" t="s">
        <v>47</v>
      </c>
      <c r="F214" s="12" t="s">
        <v>694</v>
      </c>
      <c r="G214" s="13" t="s">
        <v>695</v>
      </c>
      <c r="H214" s="11" t="s">
        <v>457</v>
      </c>
      <c r="I214" s="52">
        <v>46373.0</v>
      </c>
      <c r="J214" s="52">
        <v>46374.0</v>
      </c>
      <c r="K214" s="53"/>
      <c r="L214" s="53"/>
      <c r="M214" s="12" t="s">
        <v>696</v>
      </c>
      <c r="N214" s="11" t="s">
        <v>54</v>
      </c>
      <c r="O214" s="11" t="s">
        <v>85</v>
      </c>
      <c r="P214" s="11" t="s">
        <v>251</v>
      </c>
      <c r="Q214" s="54"/>
      <c r="R214" s="32">
        <v>46264.0</v>
      </c>
      <c r="S214" s="54"/>
      <c r="T214" s="55"/>
      <c r="U214" s="11" t="s">
        <v>54</v>
      </c>
      <c r="V214" s="56"/>
      <c r="W214" s="12" t="s">
        <v>56</v>
      </c>
      <c r="X214" s="11" t="s">
        <v>54</v>
      </c>
      <c r="Y214" s="54"/>
      <c r="Z214" s="16"/>
      <c r="AA214" s="19"/>
      <c r="AB214" s="54"/>
      <c r="AC214" s="12" t="str">
        <f t="shared" si="2"/>
        <v>RD012M01</v>
      </c>
    </row>
    <row r="215" ht="18.0" customHeight="1">
      <c r="A215" s="11">
        <f t="shared" si="1"/>
        <v>212</v>
      </c>
      <c r="B215" s="12" t="s">
        <v>245</v>
      </c>
      <c r="C215" s="11" t="s">
        <v>690</v>
      </c>
      <c r="D215" s="12" t="s">
        <v>45</v>
      </c>
      <c r="E215" s="12" t="s">
        <v>47</v>
      </c>
      <c r="F215" s="12" t="s">
        <v>697</v>
      </c>
      <c r="G215" s="13" t="s">
        <v>698</v>
      </c>
      <c r="H215" s="11" t="s">
        <v>457</v>
      </c>
      <c r="I215" s="52">
        <v>46375.0</v>
      </c>
      <c r="J215" s="52">
        <v>46376.0</v>
      </c>
      <c r="K215" s="53"/>
      <c r="L215" s="53"/>
      <c r="M215" s="12" t="s">
        <v>699</v>
      </c>
      <c r="N215" s="11" t="s">
        <v>54</v>
      </c>
      <c r="O215" s="11" t="s">
        <v>85</v>
      </c>
      <c r="P215" s="11" t="s">
        <v>251</v>
      </c>
      <c r="Q215" s="54"/>
      <c r="R215" s="32">
        <v>46264.0</v>
      </c>
      <c r="S215" s="54"/>
      <c r="T215" s="55"/>
      <c r="U215" s="11" t="s">
        <v>54</v>
      </c>
      <c r="V215" s="56"/>
      <c r="W215" s="12" t="s">
        <v>56</v>
      </c>
      <c r="X215" s="11" t="s">
        <v>54</v>
      </c>
      <c r="Y215" s="54"/>
      <c r="Z215" s="16"/>
      <c r="AA215" s="19"/>
      <c r="AB215" s="54"/>
      <c r="AC215" s="12" t="str">
        <f t="shared" si="2"/>
        <v>RD013M01</v>
      </c>
    </row>
    <row r="216" ht="18.0" customHeight="1">
      <c r="A216" s="11">
        <f t="shared" si="1"/>
        <v>213</v>
      </c>
      <c r="B216" s="12" t="s">
        <v>245</v>
      </c>
      <c r="C216" s="11" t="s">
        <v>690</v>
      </c>
      <c r="D216" s="12" t="s">
        <v>45</v>
      </c>
      <c r="E216" s="12" t="s">
        <v>47</v>
      </c>
      <c r="F216" s="12" t="s">
        <v>700</v>
      </c>
      <c r="G216" s="13" t="s">
        <v>701</v>
      </c>
      <c r="H216" s="11" t="s">
        <v>457</v>
      </c>
      <c r="I216" s="52">
        <v>46379.0</v>
      </c>
      <c r="J216" s="52">
        <v>46380.0</v>
      </c>
      <c r="K216" s="53"/>
      <c r="L216" s="53"/>
      <c r="M216" s="12" t="s">
        <v>702</v>
      </c>
      <c r="N216" s="11" t="s">
        <v>54</v>
      </c>
      <c r="O216" s="11" t="s">
        <v>85</v>
      </c>
      <c r="P216" s="11" t="s">
        <v>251</v>
      </c>
      <c r="Q216" s="54"/>
      <c r="R216" s="32">
        <v>46264.0</v>
      </c>
      <c r="S216" s="54"/>
      <c r="T216" s="55"/>
      <c r="U216" s="11" t="s">
        <v>54</v>
      </c>
      <c r="V216" s="56"/>
      <c r="W216" s="12" t="s">
        <v>56</v>
      </c>
      <c r="X216" s="11" t="s">
        <v>54</v>
      </c>
      <c r="Y216" s="54"/>
      <c r="Z216" s="16"/>
      <c r="AA216" s="19"/>
      <c r="AB216" s="54"/>
      <c r="AC216" s="12" t="str">
        <f t="shared" si="2"/>
        <v>RD014M01</v>
      </c>
    </row>
    <row r="217" ht="18.0" customHeight="1">
      <c r="A217" s="11">
        <f t="shared" si="1"/>
        <v>214</v>
      </c>
      <c r="B217" s="12" t="s">
        <v>245</v>
      </c>
      <c r="C217" s="11" t="s">
        <v>690</v>
      </c>
      <c r="D217" s="12" t="s">
        <v>45</v>
      </c>
      <c r="E217" s="12" t="s">
        <v>47</v>
      </c>
      <c r="F217" s="11" t="s">
        <v>703</v>
      </c>
      <c r="G217" s="13" t="s">
        <v>631</v>
      </c>
      <c r="H217" s="11" t="s">
        <v>457</v>
      </c>
      <c r="I217" s="52">
        <v>46319.0</v>
      </c>
      <c r="J217" s="52">
        <v>46320.0</v>
      </c>
      <c r="K217" s="53"/>
      <c r="L217" s="53"/>
      <c r="M217" s="11" t="s">
        <v>704</v>
      </c>
      <c r="N217" s="11" t="s">
        <v>54</v>
      </c>
      <c r="O217" s="11" t="s">
        <v>85</v>
      </c>
      <c r="P217" s="11" t="s">
        <v>251</v>
      </c>
      <c r="Q217" s="54"/>
      <c r="R217" s="32">
        <v>46264.0</v>
      </c>
      <c r="S217" s="54"/>
      <c r="T217" s="55"/>
      <c r="U217" s="11" t="s">
        <v>54</v>
      </c>
      <c r="V217" s="56"/>
      <c r="W217" s="12" t="s">
        <v>56</v>
      </c>
      <c r="X217" s="11" t="s">
        <v>82</v>
      </c>
      <c r="Y217" s="54"/>
      <c r="Z217" s="16"/>
      <c r="AA217" s="19"/>
      <c r="AB217" s="54"/>
      <c r="AC217" s="12" t="str">
        <f t="shared" si="2"/>
        <v>RD015M01</v>
      </c>
    </row>
    <row r="218" ht="18.0" customHeight="1">
      <c r="A218" s="11">
        <f t="shared" si="1"/>
        <v>215</v>
      </c>
      <c r="B218" s="12" t="s">
        <v>245</v>
      </c>
      <c r="C218" s="11" t="s">
        <v>690</v>
      </c>
      <c r="D218" s="12" t="s">
        <v>45</v>
      </c>
      <c r="E218" s="12" t="s">
        <v>47</v>
      </c>
      <c r="F218" s="11" t="s">
        <v>705</v>
      </c>
      <c r="G218" s="13" t="s">
        <v>634</v>
      </c>
      <c r="H218" s="11" t="s">
        <v>457</v>
      </c>
      <c r="I218" s="52">
        <v>46323.0</v>
      </c>
      <c r="J218" s="52">
        <v>46324.0</v>
      </c>
      <c r="K218" s="53"/>
      <c r="L218" s="53"/>
      <c r="M218" s="11" t="s">
        <v>706</v>
      </c>
      <c r="N218" s="11" t="s">
        <v>54</v>
      </c>
      <c r="O218" s="11" t="s">
        <v>85</v>
      </c>
      <c r="P218" s="11" t="s">
        <v>251</v>
      </c>
      <c r="Q218" s="54"/>
      <c r="R218" s="32">
        <v>46264.0</v>
      </c>
      <c r="S218" s="54"/>
      <c r="T218" s="55"/>
      <c r="U218" s="11" t="s">
        <v>54</v>
      </c>
      <c r="V218" s="56"/>
      <c r="W218" s="12" t="s">
        <v>56</v>
      </c>
      <c r="X218" s="11" t="s">
        <v>82</v>
      </c>
      <c r="Y218" s="54"/>
      <c r="Z218" s="16"/>
      <c r="AA218" s="19"/>
      <c r="AB218" s="54"/>
      <c r="AC218" s="12" t="str">
        <f t="shared" si="2"/>
        <v>RD015T01</v>
      </c>
    </row>
    <row r="219" ht="18.0" customHeight="1">
      <c r="A219" s="11">
        <f t="shared" si="1"/>
        <v>216</v>
      </c>
      <c r="B219" s="12" t="s">
        <v>245</v>
      </c>
      <c r="C219" s="11" t="s">
        <v>690</v>
      </c>
      <c r="D219" s="12" t="s">
        <v>45</v>
      </c>
      <c r="E219" s="12" t="s">
        <v>47</v>
      </c>
      <c r="F219" s="11" t="s">
        <v>707</v>
      </c>
      <c r="G219" s="13" t="s">
        <v>637</v>
      </c>
      <c r="H219" s="11" t="s">
        <v>457</v>
      </c>
      <c r="I219" s="52">
        <v>46325.0</v>
      </c>
      <c r="J219" s="52">
        <v>46326.0</v>
      </c>
      <c r="K219" s="53"/>
      <c r="L219" s="53"/>
      <c r="M219" s="11" t="s">
        <v>708</v>
      </c>
      <c r="N219" s="11" t="s">
        <v>54</v>
      </c>
      <c r="O219" s="11" t="s">
        <v>85</v>
      </c>
      <c r="P219" s="11" t="s">
        <v>251</v>
      </c>
      <c r="Q219" s="54"/>
      <c r="R219" s="32">
        <v>46264.0</v>
      </c>
      <c r="S219" s="54"/>
      <c r="T219" s="55"/>
      <c r="U219" s="11" t="s">
        <v>54</v>
      </c>
      <c r="V219" s="56"/>
      <c r="W219" s="12" t="s">
        <v>56</v>
      </c>
      <c r="X219" s="11" t="s">
        <v>82</v>
      </c>
      <c r="Y219" s="54"/>
      <c r="Z219" s="16"/>
      <c r="AA219" s="19"/>
      <c r="AB219" s="54"/>
      <c r="AC219" s="12" t="str">
        <f t="shared" si="2"/>
        <v>RD016M01</v>
      </c>
    </row>
    <row r="220" ht="18.0" customHeight="1">
      <c r="A220" s="11">
        <f t="shared" si="1"/>
        <v>217</v>
      </c>
      <c r="B220" s="12" t="s">
        <v>245</v>
      </c>
      <c r="C220" s="11" t="s">
        <v>690</v>
      </c>
      <c r="D220" s="12" t="s">
        <v>45</v>
      </c>
      <c r="E220" s="12" t="s">
        <v>47</v>
      </c>
      <c r="F220" s="11" t="s">
        <v>709</v>
      </c>
      <c r="G220" s="13" t="s">
        <v>640</v>
      </c>
      <c r="H220" s="11" t="s">
        <v>457</v>
      </c>
      <c r="I220" s="52">
        <v>46327.0</v>
      </c>
      <c r="J220" s="52">
        <v>46330.0</v>
      </c>
      <c r="K220" s="53"/>
      <c r="L220" s="53"/>
      <c r="M220" s="11" t="s">
        <v>710</v>
      </c>
      <c r="N220" s="11" t="s">
        <v>54</v>
      </c>
      <c r="O220" s="11" t="s">
        <v>85</v>
      </c>
      <c r="P220" s="11" t="s">
        <v>251</v>
      </c>
      <c r="Q220" s="54"/>
      <c r="R220" s="32">
        <v>46264.0</v>
      </c>
      <c r="S220" s="54"/>
      <c r="T220" s="55"/>
      <c r="U220" s="11" t="s">
        <v>54</v>
      </c>
      <c r="V220" s="56"/>
      <c r="W220" s="12" t="s">
        <v>56</v>
      </c>
      <c r="X220" s="11" t="s">
        <v>82</v>
      </c>
      <c r="Y220" s="54"/>
      <c r="Z220" s="16"/>
      <c r="AA220" s="19"/>
      <c r="AB220" s="54"/>
      <c r="AC220" s="12" t="str">
        <f t="shared" si="2"/>
        <v>RD017M01</v>
      </c>
    </row>
    <row r="221" ht="18.0" customHeight="1">
      <c r="A221" s="11">
        <f t="shared" si="1"/>
        <v>218</v>
      </c>
      <c r="B221" s="12" t="s">
        <v>245</v>
      </c>
      <c r="C221" s="11" t="s">
        <v>690</v>
      </c>
      <c r="D221" s="12" t="s">
        <v>45</v>
      </c>
      <c r="E221" s="12" t="s">
        <v>47</v>
      </c>
      <c r="F221" s="11" t="s">
        <v>711</v>
      </c>
      <c r="G221" s="13" t="s">
        <v>643</v>
      </c>
      <c r="H221" s="11" t="s">
        <v>457</v>
      </c>
      <c r="I221" s="52">
        <v>46331.0</v>
      </c>
      <c r="J221" s="52">
        <v>46332.0</v>
      </c>
      <c r="K221" s="53"/>
      <c r="L221" s="53"/>
      <c r="M221" s="11" t="s">
        <v>712</v>
      </c>
      <c r="N221" s="11" t="s">
        <v>54</v>
      </c>
      <c r="O221" s="11" t="s">
        <v>85</v>
      </c>
      <c r="P221" s="11" t="s">
        <v>251</v>
      </c>
      <c r="Q221" s="54"/>
      <c r="R221" s="32">
        <v>46264.0</v>
      </c>
      <c r="S221" s="54"/>
      <c r="T221" s="55"/>
      <c r="U221" s="11" t="s">
        <v>54</v>
      </c>
      <c r="V221" s="56"/>
      <c r="W221" s="12" t="s">
        <v>56</v>
      </c>
      <c r="X221" s="11" t="s">
        <v>82</v>
      </c>
      <c r="Y221" s="54"/>
      <c r="Z221" s="16"/>
      <c r="AA221" s="19"/>
      <c r="AB221" s="54"/>
      <c r="AC221" s="12" t="str">
        <f t="shared" si="2"/>
        <v>RD017T01</v>
      </c>
    </row>
    <row r="222" ht="18.0" customHeight="1">
      <c r="A222" s="11">
        <f t="shared" si="1"/>
        <v>219</v>
      </c>
      <c r="B222" s="12" t="s">
        <v>245</v>
      </c>
      <c r="C222" s="11" t="s">
        <v>690</v>
      </c>
      <c r="D222" s="12" t="s">
        <v>45</v>
      </c>
      <c r="E222" s="12" t="s">
        <v>47</v>
      </c>
      <c r="F222" s="11" t="s">
        <v>713</v>
      </c>
      <c r="G222" s="13" t="s">
        <v>646</v>
      </c>
      <c r="H222" s="11" t="s">
        <v>457</v>
      </c>
      <c r="I222" s="52">
        <v>46333.0</v>
      </c>
      <c r="J222" s="52">
        <v>46334.0</v>
      </c>
      <c r="K222" s="53"/>
      <c r="L222" s="53"/>
      <c r="M222" s="11" t="s">
        <v>714</v>
      </c>
      <c r="N222" s="11" t="s">
        <v>54</v>
      </c>
      <c r="O222" s="11" t="s">
        <v>85</v>
      </c>
      <c r="P222" s="11" t="s">
        <v>251</v>
      </c>
      <c r="Q222" s="54"/>
      <c r="R222" s="32">
        <v>46264.0</v>
      </c>
      <c r="S222" s="54"/>
      <c r="T222" s="55"/>
      <c r="U222" s="11" t="s">
        <v>54</v>
      </c>
      <c r="V222" s="56"/>
      <c r="W222" s="12" t="s">
        <v>56</v>
      </c>
      <c r="X222" s="11" t="s">
        <v>82</v>
      </c>
      <c r="Y222" s="54"/>
      <c r="Z222" s="16"/>
      <c r="AA222" s="19"/>
      <c r="AB222" s="54"/>
      <c r="AC222" s="12" t="str">
        <f t="shared" si="2"/>
        <v>RD018M01</v>
      </c>
    </row>
    <row r="223" ht="18.0" customHeight="1">
      <c r="A223" s="11">
        <f t="shared" si="1"/>
        <v>220</v>
      </c>
      <c r="B223" s="12" t="s">
        <v>245</v>
      </c>
      <c r="C223" s="11" t="s">
        <v>690</v>
      </c>
      <c r="D223" s="12" t="s">
        <v>45</v>
      </c>
      <c r="E223" s="12" t="s">
        <v>47</v>
      </c>
      <c r="F223" s="12" t="s">
        <v>715</v>
      </c>
      <c r="G223" s="13" t="s">
        <v>716</v>
      </c>
      <c r="H223" s="11" t="s">
        <v>354</v>
      </c>
      <c r="I223" s="52">
        <v>46373.0</v>
      </c>
      <c r="J223" s="52">
        <v>46374.0</v>
      </c>
      <c r="K223" s="53"/>
      <c r="L223" s="53"/>
      <c r="M223" s="12" t="s">
        <v>717</v>
      </c>
      <c r="N223" s="11" t="s">
        <v>54</v>
      </c>
      <c r="O223" s="11" t="s">
        <v>85</v>
      </c>
      <c r="P223" s="11" t="s">
        <v>251</v>
      </c>
      <c r="Q223" s="54"/>
      <c r="R223" s="32">
        <v>46264.0</v>
      </c>
      <c r="S223" s="54"/>
      <c r="T223" s="55"/>
      <c r="U223" s="11" t="s">
        <v>54</v>
      </c>
      <c r="V223" s="56"/>
      <c r="W223" s="12" t="s">
        <v>56</v>
      </c>
      <c r="X223" s="11" t="s">
        <v>54</v>
      </c>
      <c r="Y223" s="54"/>
      <c r="Z223" s="16"/>
      <c r="AA223" s="19"/>
      <c r="AB223" s="54"/>
      <c r="AC223" s="12" t="str">
        <f t="shared" si="2"/>
        <v>RD021M01</v>
      </c>
    </row>
    <row r="224" ht="18.0" customHeight="1">
      <c r="A224" s="11">
        <f t="shared" si="1"/>
        <v>221</v>
      </c>
      <c r="B224" s="12" t="s">
        <v>245</v>
      </c>
      <c r="C224" s="11" t="s">
        <v>690</v>
      </c>
      <c r="D224" s="12" t="s">
        <v>45</v>
      </c>
      <c r="E224" s="12" t="s">
        <v>47</v>
      </c>
      <c r="F224" s="12" t="s">
        <v>718</v>
      </c>
      <c r="G224" s="31" t="s">
        <v>719</v>
      </c>
      <c r="H224" s="11" t="s">
        <v>354</v>
      </c>
      <c r="I224" s="52">
        <v>46375.0</v>
      </c>
      <c r="J224" s="52">
        <v>46376.0</v>
      </c>
      <c r="K224" s="53"/>
      <c r="L224" s="53"/>
      <c r="M224" s="12" t="s">
        <v>720</v>
      </c>
      <c r="N224" s="11" t="s">
        <v>54</v>
      </c>
      <c r="O224" s="11" t="s">
        <v>85</v>
      </c>
      <c r="P224" s="11" t="s">
        <v>251</v>
      </c>
      <c r="Q224" s="54"/>
      <c r="R224" s="32">
        <v>46264.0</v>
      </c>
      <c r="S224" s="54"/>
      <c r="T224" s="55"/>
      <c r="U224" s="11" t="s">
        <v>54</v>
      </c>
      <c r="V224" s="56"/>
      <c r="W224" s="12" t="s">
        <v>56</v>
      </c>
      <c r="X224" s="11" t="s">
        <v>54</v>
      </c>
      <c r="Y224" s="54"/>
      <c r="Z224" s="16"/>
      <c r="AA224" s="19"/>
      <c r="AB224" s="54"/>
      <c r="AC224" s="12" t="str">
        <f t="shared" si="2"/>
        <v>RD031M01</v>
      </c>
    </row>
    <row r="225" ht="18.0" customHeight="1">
      <c r="A225" s="11">
        <f t="shared" si="1"/>
        <v>222</v>
      </c>
      <c r="B225" s="12" t="s">
        <v>245</v>
      </c>
      <c r="C225" s="11" t="s">
        <v>690</v>
      </c>
      <c r="D225" s="12" t="s">
        <v>45</v>
      </c>
      <c r="E225" s="12" t="s">
        <v>47</v>
      </c>
      <c r="F225" s="12" t="s">
        <v>721</v>
      </c>
      <c r="G225" s="31" t="s">
        <v>722</v>
      </c>
      <c r="H225" s="11" t="s">
        <v>354</v>
      </c>
      <c r="I225" s="52">
        <v>46379.0</v>
      </c>
      <c r="J225" s="52">
        <v>46380.0</v>
      </c>
      <c r="K225" s="53"/>
      <c r="L225" s="53"/>
      <c r="M225" s="12" t="s">
        <v>723</v>
      </c>
      <c r="N225" s="11" t="s">
        <v>54</v>
      </c>
      <c r="O225" s="11" t="s">
        <v>85</v>
      </c>
      <c r="P225" s="11" t="s">
        <v>251</v>
      </c>
      <c r="Q225" s="54"/>
      <c r="R225" s="32">
        <v>46264.0</v>
      </c>
      <c r="S225" s="54"/>
      <c r="T225" s="55"/>
      <c r="U225" s="11" t="s">
        <v>54</v>
      </c>
      <c r="V225" s="56"/>
      <c r="W225" s="12" t="s">
        <v>56</v>
      </c>
      <c r="X225" s="11" t="s">
        <v>54</v>
      </c>
      <c r="Y225" s="54"/>
      <c r="Z225" s="16"/>
      <c r="AA225" s="19"/>
      <c r="AB225" s="54"/>
      <c r="AC225" s="12" t="str">
        <f t="shared" si="2"/>
        <v>RD041M01</v>
      </c>
    </row>
    <row r="226" ht="18.0" customHeight="1">
      <c r="A226" s="11">
        <f t="shared" si="1"/>
        <v>223</v>
      </c>
      <c r="B226" s="12" t="s">
        <v>245</v>
      </c>
      <c r="C226" s="11" t="s">
        <v>690</v>
      </c>
      <c r="D226" s="12" t="s">
        <v>45</v>
      </c>
      <c r="E226" s="12" t="s">
        <v>47</v>
      </c>
      <c r="F226" s="12" t="s">
        <v>724</v>
      </c>
      <c r="G226" s="31" t="s">
        <v>725</v>
      </c>
      <c r="H226" s="11" t="s">
        <v>354</v>
      </c>
      <c r="I226" s="52">
        <v>46382.0</v>
      </c>
      <c r="J226" s="52">
        <v>46383.0</v>
      </c>
      <c r="K226" s="53"/>
      <c r="L226" s="53"/>
      <c r="M226" s="12" t="s">
        <v>726</v>
      </c>
      <c r="N226" s="11" t="s">
        <v>54</v>
      </c>
      <c r="O226" s="11" t="s">
        <v>85</v>
      </c>
      <c r="P226" s="11" t="s">
        <v>251</v>
      </c>
      <c r="Q226" s="54"/>
      <c r="R226" s="32">
        <v>46264.0</v>
      </c>
      <c r="S226" s="54"/>
      <c r="T226" s="55"/>
      <c r="U226" s="11" t="s">
        <v>54</v>
      </c>
      <c r="V226" s="56"/>
      <c r="W226" s="12" t="s">
        <v>56</v>
      </c>
      <c r="X226" s="11" t="s">
        <v>54</v>
      </c>
      <c r="Y226" s="54"/>
      <c r="Z226" s="16"/>
      <c r="AA226" s="19"/>
      <c r="AB226" s="54"/>
      <c r="AC226" s="12" t="str">
        <f t="shared" si="2"/>
        <v>RD042M01</v>
      </c>
    </row>
    <row r="227" ht="18.0" customHeight="1">
      <c r="A227" s="11">
        <f t="shared" si="1"/>
        <v>224</v>
      </c>
      <c r="B227" s="12" t="s">
        <v>245</v>
      </c>
      <c r="C227" s="11" t="s">
        <v>727</v>
      </c>
      <c r="D227" s="12" t="s">
        <v>45</v>
      </c>
      <c r="E227" s="12" t="s">
        <v>47</v>
      </c>
      <c r="F227" s="12" t="s">
        <v>728</v>
      </c>
      <c r="G227" s="31" t="s">
        <v>729</v>
      </c>
      <c r="H227" s="11" t="s">
        <v>354</v>
      </c>
      <c r="I227" s="52">
        <v>46379.0</v>
      </c>
      <c r="J227" s="52">
        <v>46380.0</v>
      </c>
      <c r="K227" s="53"/>
      <c r="L227" s="53"/>
      <c r="M227" s="12" t="s">
        <v>730</v>
      </c>
      <c r="N227" s="11" t="s">
        <v>54</v>
      </c>
      <c r="O227" s="11" t="s">
        <v>76</v>
      </c>
      <c r="P227" s="11" t="s">
        <v>251</v>
      </c>
      <c r="Q227" s="54"/>
      <c r="R227" s="32">
        <v>46264.0</v>
      </c>
      <c r="S227" s="54"/>
      <c r="T227" s="55"/>
      <c r="U227" s="11" t="s">
        <v>54</v>
      </c>
      <c r="V227" s="56"/>
      <c r="W227" s="12" t="s">
        <v>56</v>
      </c>
      <c r="X227" s="11" t="s">
        <v>54</v>
      </c>
      <c r="Y227" s="54"/>
      <c r="Z227" s="16"/>
      <c r="AA227" s="19"/>
      <c r="AB227" s="54"/>
      <c r="AC227" s="12" t="str">
        <f t="shared" si="2"/>
        <v>RE011M01</v>
      </c>
    </row>
    <row r="228" ht="18.0" customHeight="1">
      <c r="A228" s="11">
        <f t="shared" si="1"/>
        <v>225</v>
      </c>
      <c r="B228" s="12" t="s">
        <v>245</v>
      </c>
      <c r="C228" s="11" t="s">
        <v>731</v>
      </c>
      <c r="D228" s="12" t="s">
        <v>45</v>
      </c>
      <c r="E228" s="12" t="s">
        <v>47</v>
      </c>
      <c r="F228" s="12" t="s">
        <v>732</v>
      </c>
      <c r="G228" s="13" t="s">
        <v>733</v>
      </c>
      <c r="H228" s="11" t="s">
        <v>354</v>
      </c>
      <c r="I228" s="52">
        <v>46318.0</v>
      </c>
      <c r="J228" s="52">
        <v>46319.0</v>
      </c>
      <c r="K228" s="53"/>
      <c r="L228" s="53"/>
      <c r="M228" s="12" t="s">
        <v>734</v>
      </c>
      <c r="N228" s="11" t="s">
        <v>54</v>
      </c>
      <c r="O228" s="11" t="s">
        <v>76</v>
      </c>
      <c r="P228" s="11" t="s">
        <v>251</v>
      </c>
      <c r="Q228" s="54"/>
      <c r="R228" s="32">
        <v>46264.0</v>
      </c>
      <c r="S228" s="54"/>
      <c r="T228" s="55"/>
      <c r="U228" s="11" t="s">
        <v>54</v>
      </c>
      <c r="V228" s="56"/>
      <c r="W228" s="12" t="s">
        <v>56</v>
      </c>
      <c r="X228" s="11" t="s">
        <v>54</v>
      </c>
      <c r="Y228" s="54"/>
      <c r="Z228" s="16"/>
      <c r="AA228" s="19"/>
      <c r="AB228" s="54"/>
      <c r="AC228" s="12" t="str">
        <f t="shared" si="2"/>
        <v>RF011M01</v>
      </c>
    </row>
    <row r="229" ht="18.0" customHeight="1">
      <c r="A229" s="11">
        <f t="shared" si="1"/>
        <v>226</v>
      </c>
      <c r="B229" s="12" t="s">
        <v>245</v>
      </c>
      <c r="C229" s="11" t="s">
        <v>731</v>
      </c>
      <c r="D229" s="12" t="s">
        <v>45</v>
      </c>
      <c r="E229" s="12" t="s">
        <v>47</v>
      </c>
      <c r="F229" s="12" t="s">
        <v>735</v>
      </c>
      <c r="G229" s="13" t="s">
        <v>736</v>
      </c>
      <c r="H229" s="11" t="s">
        <v>354</v>
      </c>
      <c r="I229" s="52">
        <v>46383.0</v>
      </c>
      <c r="J229" s="52">
        <v>46387.0</v>
      </c>
      <c r="K229" s="53"/>
      <c r="L229" s="53"/>
      <c r="M229" s="12" t="s">
        <v>737</v>
      </c>
      <c r="N229" s="11" t="s">
        <v>54</v>
      </c>
      <c r="O229" s="11" t="s">
        <v>55</v>
      </c>
      <c r="P229" s="11" t="s">
        <v>251</v>
      </c>
      <c r="Q229" s="54"/>
      <c r="R229" s="32">
        <v>46264.0</v>
      </c>
      <c r="S229" s="54"/>
      <c r="T229" s="55"/>
      <c r="U229" s="11" t="s">
        <v>54</v>
      </c>
      <c r="V229" s="56"/>
      <c r="W229" s="12" t="s">
        <v>56</v>
      </c>
      <c r="X229" s="11" t="s">
        <v>54</v>
      </c>
      <c r="Y229" s="54"/>
      <c r="Z229" s="16"/>
      <c r="AA229" s="19"/>
      <c r="AB229" s="54"/>
      <c r="AC229" s="12" t="str">
        <f t="shared" si="2"/>
        <v>RF021M01</v>
      </c>
    </row>
    <row r="230" ht="18.0" customHeight="1">
      <c r="A230" s="11">
        <f t="shared" si="1"/>
        <v>227</v>
      </c>
      <c r="B230" s="11" t="s">
        <v>738</v>
      </c>
      <c r="C230" s="11" t="s">
        <v>739</v>
      </c>
      <c r="D230" s="11" t="s">
        <v>45</v>
      </c>
      <c r="E230" s="11" t="s">
        <v>47</v>
      </c>
      <c r="F230" s="11" t="s">
        <v>740</v>
      </c>
      <c r="G230" s="31" t="s">
        <v>741</v>
      </c>
      <c r="H230" s="11" t="s">
        <v>742</v>
      </c>
      <c r="I230" s="63">
        <v>46267.0</v>
      </c>
      <c r="J230" s="63">
        <v>46271.0</v>
      </c>
      <c r="K230" s="53"/>
      <c r="L230" s="53"/>
      <c r="M230" s="11" t="s">
        <v>743</v>
      </c>
      <c r="N230" s="11" t="s">
        <v>82</v>
      </c>
      <c r="O230" s="11" t="s">
        <v>55</v>
      </c>
      <c r="P230" s="11" t="s">
        <v>251</v>
      </c>
      <c r="Q230" s="54"/>
      <c r="R230" s="64"/>
      <c r="S230" s="54"/>
      <c r="T230" s="17"/>
      <c r="U230" s="54"/>
      <c r="V230" s="56"/>
      <c r="W230" s="54"/>
      <c r="X230" s="11" t="s">
        <v>57</v>
      </c>
      <c r="Y230" s="54"/>
      <c r="Z230" s="14">
        <v>46268.0</v>
      </c>
      <c r="AA230" s="19"/>
      <c r="AB230" s="54"/>
      <c r="AC230" s="12" t="str">
        <f t="shared" si="2"/>
        <v>comSrchUser</v>
      </c>
    </row>
    <row r="231" ht="18.0" customHeight="1">
      <c r="A231" s="11">
        <f t="shared" si="1"/>
        <v>228</v>
      </c>
      <c r="B231" s="11" t="s">
        <v>738</v>
      </c>
      <c r="C231" s="11" t="s">
        <v>739</v>
      </c>
      <c r="D231" s="11" t="s">
        <v>45</v>
      </c>
      <c r="E231" s="11" t="s">
        <v>47</v>
      </c>
      <c r="F231" s="11" t="s">
        <v>744</v>
      </c>
      <c r="G231" s="31" t="s">
        <v>745</v>
      </c>
      <c r="H231" s="11" t="s">
        <v>742</v>
      </c>
      <c r="I231" s="63">
        <v>46267.0</v>
      </c>
      <c r="J231" s="63">
        <v>46271.0</v>
      </c>
      <c r="K231" s="53"/>
      <c r="L231" s="53"/>
      <c r="M231" s="11" t="s">
        <v>746</v>
      </c>
      <c r="N231" s="11" t="s">
        <v>82</v>
      </c>
      <c r="O231" s="11" t="s">
        <v>76</v>
      </c>
      <c r="P231" s="11" t="s">
        <v>251</v>
      </c>
      <c r="Q231" s="54"/>
      <c r="R231" s="64"/>
      <c r="S231" s="54"/>
      <c r="T231" s="17"/>
      <c r="U231" s="54"/>
      <c r="V231" s="56"/>
      <c r="W231" s="54"/>
      <c r="X231" s="11" t="s">
        <v>57</v>
      </c>
      <c r="Y231" s="54"/>
      <c r="Z231" s="14">
        <v>46268.0</v>
      </c>
      <c r="AA231" s="19"/>
      <c r="AB231" s="54"/>
      <c r="AC231" s="12" t="str">
        <f t="shared" si="2"/>
        <v>comSrchTempUser</v>
      </c>
    </row>
    <row r="232" ht="18.0" customHeight="1">
      <c r="A232" s="11">
        <f t="shared" si="1"/>
        <v>229</v>
      </c>
      <c r="B232" s="11" t="s">
        <v>738</v>
      </c>
      <c r="C232" s="11" t="s">
        <v>739</v>
      </c>
      <c r="D232" s="11" t="s">
        <v>45</v>
      </c>
      <c r="E232" s="11" t="s">
        <v>47</v>
      </c>
      <c r="F232" s="11" t="s">
        <v>747</v>
      </c>
      <c r="G232" s="31" t="s">
        <v>748</v>
      </c>
      <c r="H232" s="11" t="s">
        <v>742</v>
      </c>
      <c r="I232" s="63">
        <v>46267.0</v>
      </c>
      <c r="J232" s="63">
        <v>46271.0</v>
      </c>
      <c r="K232" s="53"/>
      <c r="L232" s="53"/>
      <c r="M232" s="11" t="s">
        <v>749</v>
      </c>
      <c r="N232" s="11" t="s">
        <v>82</v>
      </c>
      <c r="O232" s="11" t="s">
        <v>76</v>
      </c>
      <c r="P232" s="11" t="s">
        <v>251</v>
      </c>
      <c r="Q232" s="54"/>
      <c r="R232" s="64"/>
      <c r="S232" s="54"/>
      <c r="T232" s="17"/>
      <c r="U232" s="54"/>
      <c r="V232" s="56"/>
      <c r="W232" s="54"/>
      <c r="X232" s="11" t="s">
        <v>57</v>
      </c>
      <c r="Y232" s="54"/>
      <c r="Z232" s="14">
        <v>46268.0</v>
      </c>
      <c r="AA232" s="19"/>
      <c r="AB232" s="54"/>
      <c r="AC232" s="12" t="str">
        <f t="shared" si="2"/>
        <v>comSrchEvUser</v>
      </c>
    </row>
    <row r="233" ht="18.0" customHeight="1">
      <c r="A233" s="11">
        <f t="shared" si="1"/>
        <v>230</v>
      </c>
      <c r="B233" s="11" t="s">
        <v>738</v>
      </c>
      <c r="C233" s="11" t="s">
        <v>739</v>
      </c>
      <c r="D233" s="11" t="s">
        <v>45</v>
      </c>
      <c r="E233" s="11" t="s">
        <v>47</v>
      </c>
      <c r="F233" s="11" t="s">
        <v>750</v>
      </c>
      <c r="G233" s="31" t="s">
        <v>751</v>
      </c>
      <c r="H233" s="11" t="s">
        <v>752</v>
      </c>
      <c r="I233" s="63">
        <v>46267.0</v>
      </c>
      <c r="J233" s="63">
        <v>46271.0</v>
      </c>
      <c r="K233" s="53"/>
      <c r="L233" s="53"/>
      <c r="M233" s="11" t="s">
        <v>753</v>
      </c>
      <c r="N233" s="11" t="s">
        <v>82</v>
      </c>
      <c r="O233" s="11" t="s">
        <v>55</v>
      </c>
      <c r="P233" s="11" t="s">
        <v>251</v>
      </c>
      <c r="Q233" s="54"/>
      <c r="R233" s="64"/>
      <c r="S233" s="54"/>
      <c r="T233" s="17"/>
      <c r="U233" s="54"/>
      <c r="V233" s="56"/>
      <c r="W233" s="54"/>
      <c r="X233" s="11" t="s">
        <v>57</v>
      </c>
      <c r="Y233" s="54"/>
      <c r="Z233" s="14">
        <v>46268.0</v>
      </c>
      <c r="AA233" s="19"/>
      <c r="AB233" s="54"/>
      <c r="AC233" s="12" t="str">
        <f t="shared" si="2"/>
        <v>comPMsgDialog</v>
      </c>
    </row>
    <row r="234" ht="18.0" customHeight="1">
      <c r="A234" s="11">
        <f t="shared" si="1"/>
        <v>231</v>
      </c>
      <c r="B234" s="11" t="s">
        <v>738</v>
      </c>
      <c r="C234" s="11" t="s">
        <v>739</v>
      </c>
      <c r="D234" s="11" t="s">
        <v>45</v>
      </c>
      <c r="E234" s="11" t="s">
        <v>47</v>
      </c>
      <c r="F234" s="11" t="s">
        <v>754</v>
      </c>
      <c r="G234" s="31" t="s">
        <v>755</v>
      </c>
      <c r="H234" s="11" t="s">
        <v>742</v>
      </c>
      <c r="I234" s="63">
        <v>46274.0</v>
      </c>
      <c r="J234" s="63">
        <v>46288.0</v>
      </c>
      <c r="K234" s="53"/>
      <c r="L234" s="53"/>
      <c r="M234" s="11" t="s">
        <v>756</v>
      </c>
      <c r="N234" s="11" t="s">
        <v>82</v>
      </c>
      <c r="O234" s="11" t="s">
        <v>55</v>
      </c>
      <c r="P234" s="11" t="s">
        <v>251</v>
      </c>
      <c r="Q234" s="54"/>
      <c r="R234" s="64"/>
      <c r="S234" s="54"/>
      <c r="T234" s="17"/>
      <c r="U234" s="54"/>
      <c r="V234" s="56"/>
      <c r="W234" s="54"/>
      <c r="X234" s="11" t="s">
        <v>57</v>
      </c>
      <c r="Y234" s="54"/>
      <c r="Z234" s="14">
        <v>46268.0</v>
      </c>
      <c r="AA234" s="19"/>
      <c r="AB234" s="54"/>
      <c r="AC234" s="12" t="str">
        <f t="shared" si="2"/>
        <v>comExcelDown</v>
      </c>
    </row>
    <row r="235" ht="18.0" customHeight="1">
      <c r="A235" s="11">
        <f t="shared" si="1"/>
        <v>232</v>
      </c>
      <c r="B235" s="11" t="s">
        <v>738</v>
      </c>
      <c r="C235" s="11" t="s">
        <v>739</v>
      </c>
      <c r="D235" s="11" t="s">
        <v>45</v>
      </c>
      <c r="E235" s="11" t="s">
        <v>47</v>
      </c>
      <c r="F235" s="11" t="s">
        <v>757</v>
      </c>
      <c r="G235" s="31" t="s">
        <v>758</v>
      </c>
      <c r="H235" s="11" t="s">
        <v>742</v>
      </c>
      <c r="I235" s="63">
        <v>46274.0</v>
      </c>
      <c r="J235" s="63">
        <v>46288.0</v>
      </c>
      <c r="K235" s="53"/>
      <c r="L235" s="53"/>
      <c r="M235" s="11" t="s">
        <v>759</v>
      </c>
      <c r="N235" s="11" t="s">
        <v>82</v>
      </c>
      <c r="O235" s="11" t="s">
        <v>55</v>
      </c>
      <c r="P235" s="11" t="s">
        <v>251</v>
      </c>
      <c r="Q235" s="54"/>
      <c r="R235" s="64"/>
      <c r="S235" s="54"/>
      <c r="T235" s="17"/>
      <c r="U235" s="54"/>
      <c r="V235" s="56"/>
      <c r="W235" s="54"/>
      <c r="X235" s="11" t="s">
        <v>57</v>
      </c>
      <c r="Y235" s="54"/>
      <c r="Z235" s="16"/>
      <c r="AA235" s="19"/>
      <c r="AB235" s="54"/>
      <c r="AC235" s="12" t="str">
        <f t="shared" si="2"/>
        <v>comMultiExcelDown</v>
      </c>
    </row>
    <row r="236" ht="18.0" customHeight="1">
      <c r="A236" s="11">
        <f t="shared" si="1"/>
        <v>233</v>
      </c>
      <c r="B236" s="11" t="s">
        <v>738</v>
      </c>
      <c r="C236" s="11" t="s">
        <v>739</v>
      </c>
      <c r="D236" s="11" t="s">
        <v>45</v>
      </c>
      <c r="E236" s="11" t="s">
        <v>47</v>
      </c>
      <c r="F236" s="11" t="s">
        <v>760</v>
      </c>
      <c r="G236" s="31" t="s">
        <v>761</v>
      </c>
      <c r="H236" s="11" t="s">
        <v>752</v>
      </c>
      <c r="I236" s="63">
        <v>46274.0</v>
      </c>
      <c r="J236" s="63">
        <v>46288.0</v>
      </c>
      <c r="K236" s="53"/>
      <c r="L236" s="53"/>
      <c r="M236" s="11" t="s">
        <v>762</v>
      </c>
      <c r="N236" s="11" t="s">
        <v>82</v>
      </c>
      <c r="O236" s="11" t="s">
        <v>55</v>
      </c>
      <c r="P236" s="11" t="s">
        <v>251</v>
      </c>
      <c r="Q236" s="54"/>
      <c r="R236" s="64"/>
      <c r="S236" s="54"/>
      <c r="T236" s="17"/>
      <c r="U236" s="54"/>
      <c r="V236" s="56"/>
      <c r="W236" s="54"/>
      <c r="X236" s="11" t="s">
        <v>57</v>
      </c>
      <c r="Y236" s="54"/>
      <c r="Z236" s="14">
        <v>46268.0</v>
      </c>
      <c r="AA236" s="19"/>
      <c r="AB236" s="54"/>
      <c r="AC236" s="12" t="str">
        <f t="shared" si="2"/>
        <v>comSendSms</v>
      </c>
    </row>
    <row r="237" ht="18.0" customHeight="1">
      <c r="A237" s="11">
        <f t="shared" si="1"/>
        <v>234</v>
      </c>
      <c r="B237" s="11" t="s">
        <v>738</v>
      </c>
      <c r="C237" s="11" t="s">
        <v>739</v>
      </c>
      <c r="D237" s="11" t="s">
        <v>45</v>
      </c>
      <c r="E237" s="11" t="s">
        <v>47</v>
      </c>
      <c r="F237" s="11" t="s">
        <v>763</v>
      </c>
      <c r="G237" s="13" t="s">
        <v>764</v>
      </c>
      <c r="H237" s="11" t="s">
        <v>742</v>
      </c>
      <c r="I237" s="63">
        <v>46302.0</v>
      </c>
      <c r="J237" s="63">
        <v>46320.0</v>
      </c>
      <c r="K237" s="53"/>
      <c r="L237" s="53"/>
      <c r="M237" s="11" t="s">
        <v>765</v>
      </c>
      <c r="N237" s="54"/>
      <c r="O237" s="11" t="s">
        <v>55</v>
      </c>
      <c r="P237" s="11" t="s">
        <v>251</v>
      </c>
      <c r="Q237" s="54"/>
      <c r="R237" s="64"/>
      <c r="S237" s="54"/>
      <c r="T237" s="17"/>
      <c r="U237" s="54"/>
      <c r="V237" s="56"/>
      <c r="W237" s="54"/>
      <c r="X237" s="11" t="s">
        <v>57</v>
      </c>
      <c r="Y237" s="54"/>
      <c r="Z237" s="14">
        <v>46268.0</v>
      </c>
      <c r="AA237" s="19"/>
      <c r="AB237" s="54"/>
      <c r="AC237" s="12" t="str">
        <f t="shared" si="2"/>
        <v>comLogin</v>
      </c>
    </row>
    <row r="238" ht="18.0" customHeight="1">
      <c r="A238" s="11">
        <f t="shared" si="1"/>
        <v>235</v>
      </c>
      <c r="B238" s="11" t="s">
        <v>738</v>
      </c>
      <c r="C238" s="11" t="s">
        <v>739</v>
      </c>
      <c r="D238" s="11" t="s">
        <v>45</v>
      </c>
      <c r="E238" s="11" t="s">
        <v>47</v>
      </c>
      <c r="F238" s="11" t="s">
        <v>766</v>
      </c>
      <c r="G238" s="31" t="s">
        <v>767</v>
      </c>
      <c r="H238" s="11" t="s">
        <v>742</v>
      </c>
      <c r="I238" s="63">
        <v>46267.0</v>
      </c>
      <c r="J238" s="63">
        <v>46271.0</v>
      </c>
      <c r="K238" s="53"/>
      <c r="L238" s="53"/>
      <c r="M238" s="11" t="s">
        <v>768</v>
      </c>
      <c r="N238" s="11" t="s">
        <v>82</v>
      </c>
      <c r="O238" s="11" t="s">
        <v>76</v>
      </c>
      <c r="P238" s="11" t="s">
        <v>251</v>
      </c>
      <c r="Q238" s="54"/>
      <c r="R238" s="64"/>
      <c r="S238" s="54"/>
      <c r="T238" s="17"/>
      <c r="U238" s="54"/>
      <c r="V238" s="56"/>
      <c r="W238" s="54"/>
      <c r="X238" s="11" t="s">
        <v>57</v>
      </c>
      <c r="Y238" s="54"/>
      <c r="Z238" s="14">
        <v>46268.0</v>
      </c>
      <c r="AA238" s="19"/>
      <c r="AB238" s="54"/>
      <c r="AC238" s="12" t="str">
        <f t="shared" si="2"/>
        <v>comDeptTree</v>
      </c>
    </row>
    <row r="239" ht="18.0" customHeight="1">
      <c r="A239" s="11">
        <f t="shared" si="1"/>
        <v>236</v>
      </c>
      <c r="B239" s="11" t="s">
        <v>738</v>
      </c>
      <c r="C239" s="11" t="s">
        <v>739</v>
      </c>
      <c r="D239" s="11" t="s">
        <v>45</v>
      </c>
      <c r="E239" s="11" t="s">
        <v>47</v>
      </c>
      <c r="F239" s="11" t="s">
        <v>769</v>
      </c>
      <c r="G239" s="13" t="s">
        <v>770</v>
      </c>
      <c r="H239" s="11" t="s">
        <v>752</v>
      </c>
      <c r="I239" s="63">
        <v>46323.0</v>
      </c>
      <c r="J239" s="63">
        <v>46341.0</v>
      </c>
      <c r="K239" s="53"/>
      <c r="L239" s="53"/>
      <c r="M239" s="11" t="s">
        <v>771</v>
      </c>
      <c r="N239" s="54"/>
      <c r="O239" s="11" t="s">
        <v>55</v>
      </c>
      <c r="P239" s="11" t="s">
        <v>251</v>
      </c>
      <c r="Q239" s="54"/>
      <c r="R239" s="64"/>
      <c r="S239" s="54"/>
      <c r="T239" s="17"/>
      <c r="U239" s="54"/>
      <c r="V239" s="56"/>
      <c r="W239" s="54"/>
      <c r="X239" s="11" t="s">
        <v>57</v>
      </c>
      <c r="Y239" s="54"/>
      <c r="Z239" s="14">
        <v>46268.0</v>
      </c>
      <c r="AA239" s="19"/>
      <c r="AB239" s="54"/>
      <c r="AC239" s="12" t="str">
        <f t="shared" si="2"/>
        <v>comMain</v>
      </c>
    </row>
    <row r="240" ht="18.0" customHeight="1">
      <c r="A240" s="11">
        <f t="shared" si="1"/>
        <v>237</v>
      </c>
      <c r="B240" s="11" t="s">
        <v>738</v>
      </c>
      <c r="C240" s="11" t="s">
        <v>739</v>
      </c>
      <c r="D240" s="11" t="s">
        <v>45</v>
      </c>
      <c r="E240" s="11" t="s">
        <v>47</v>
      </c>
      <c r="F240" s="11" t="s">
        <v>772</v>
      </c>
      <c r="G240" s="31" t="s">
        <v>773</v>
      </c>
      <c r="H240" s="11" t="s">
        <v>752</v>
      </c>
      <c r="I240" s="63">
        <v>46323.0</v>
      </c>
      <c r="J240" s="63">
        <v>46341.0</v>
      </c>
      <c r="K240" s="53"/>
      <c r="L240" s="53"/>
      <c r="M240" s="11" t="s">
        <v>774</v>
      </c>
      <c r="N240" s="54"/>
      <c r="O240" s="11" t="s">
        <v>76</v>
      </c>
      <c r="P240" s="11" t="s">
        <v>251</v>
      </c>
      <c r="Q240" s="54"/>
      <c r="R240" s="64"/>
      <c r="S240" s="54"/>
      <c r="T240" s="17"/>
      <c r="U240" s="54"/>
      <c r="V240" s="56"/>
      <c r="W240" s="54"/>
      <c r="X240" s="11" t="s">
        <v>57</v>
      </c>
      <c r="Y240" s="54"/>
      <c r="Z240" s="14">
        <v>46268.0</v>
      </c>
      <c r="AA240" s="19"/>
      <c r="AB240" s="54"/>
      <c r="AC240" s="12" t="str">
        <f t="shared" si="2"/>
        <v>comMyMenu</v>
      </c>
    </row>
    <row r="241" ht="18.0" customHeight="1">
      <c r="A241" s="11">
        <f t="shared" si="1"/>
        <v>238</v>
      </c>
      <c r="B241" s="11" t="s">
        <v>738</v>
      </c>
      <c r="C241" s="11" t="s">
        <v>739</v>
      </c>
      <c r="D241" s="11" t="s">
        <v>45</v>
      </c>
      <c r="E241" s="11" t="s">
        <v>47</v>
      </c>
      <c r="F241" s="11" t="s">
        <v>775</v>
      </c>
      <c r="G241" s="31" t="s">
        <v>776</v>
      </c>
      <c r="H241" s="11" t="s">
        <v>752</v>
      </c>
      <c r="I241" s="63">
        <v>46323.0</v>
      </c>
      <c r="J241" s="63">
        <v>46341.0</v>
      </c>
      <c r="K241" s="53"/>
      <c r="L241" s="53"/>
      <c r="M241" s="11" t="s">
        <v>777</v>
      </c>
      <c r="N241" s="54"/>
      <c r="O241" s="11" t="s">
        <v>76</v>
      </c>
      <c r="P241" s="11" t="s">
        <v>251</v>
      </c>
      <c r="Q241" s="54"/>
      <c r="R241" s="64"/>
      <c r="S241" s="54"/>
      <c r="T241" s="17"/>
      <c r="U241" s="54"/>
      <c r="V241" s="56"/>
      <c r="W241" s="54"/>
      <c r="X241" s="11" t="s">
        <v>57</v>
      </c>
      <c r="Y241" s="54"/>
      <c r="Z241" s="14">
        <v>46268.0</v>
      </c>
      <c r="AA241" s="19"/>
      <c r="AB241" s="54"/>
      <c r="AC241" s="12" t="str">
        <f t="shared" si="2"/>
        <v>comSiteMap</v>
      </c>
    </row>
    <row r="242" ht="18.0" customHeight="1">
      <c r="A242" s="11">
        <f t="shared" si="1"/>
        <v>239</v>
      </c>
      <c r="B242" s="11" t="s">
        <v>738</v>
      </c>
      <c r="C242" s="11" t="s">
        <v>739</v>
      </c>
      <c r="D242" s="11" t="s">
        <v>45</v>
      </c>
      <c r="E242" s="11" t="s">
        <v>47</v>
      </c>
      <c r="F242" s="11" t="s">
        <v>778</v>
      </c>
      <c r="G242" s="31" t="s">
        <v>779</v>
      </c>
      <c r="H242" s="11" t="s">
        <v>752</v>
      </c>
      <c r="I242" s="63">
        <v>46323.0</v>
      </c>
      <c r="J242" s="63">
        <v>46341.0</v>
      </c>
      <c r="K242" s="53"/>
      <c r="L242" s="53"/>
      <c r="M242" s="11" t="s">
        <v>780</v>
      </c>
      <c r="N242" s="11" t="s">
        <v>82</v>
      </c>
      <c r="O242" s="11" t="s">
        <v>76</v>
      </c>
      <c r="P242" s="11" t="s">
        <v>251</v>
      </c>
      <c r="Q242" s="54"/>
      <c r="R242" s="64"/>
      <c r="S242" s="54"/>
      <c r="T242" s="17"/>
      <c r="U242" s="54"/>
      <c r="V242" s="56"/>
      <c r="W242" s="54"/>
      <c r="X242" s="11" t="s">
        <v>57</v>
      </c>
      <c r="Y242" s="54"/>
      <c r="Z242" s="14">
        <v>46268.0</v>
      </c>
      <c r="AA242" s="19"/>
      <c r="AB242" s="54"/>
      <c r="AC242" s="12" t="str">
        <f t="shared" si="2"/>
        <v>comHelpInfo</v>
      </c>
    </row>
    <row r="243" ht="18.0" customHeight="1">
      <c r="A243" s="11">
        <f t="shared" si="1"/>
        <v>240</v>
      </c>
      <c r="B243" s="11" t="s">
        <v>738</v>
      </c>
      <c r="C243" s="11" t="s">
        <v>739</v>
      </c>
      <c r="D243" s="11" t="s">
        <v>45</v>
      </c>
      <c r="E243" s="11" t="s">
        <v>47</v>
      </c>
      <c r="F243" s="11" t="s">
        <v>781</v>
      </c>
      <c r="G243" s="31" t="s">
        <v>782</v>
      </c>
      <c r="H243" s="11" t="s">
        <v>752</v>
      </c>
      <c r="I243" s="63">
        <v>46295.0</v>
      </c>
      <c r="J243" s="63">
        <v>46299.0</v>
      </c>
      <c r="K243" s="53"/>
      <c r="L243" s="53"/>
      <c r="M243" s="11" t="s">
        <v>783</v>
      </c>
      <c r="N243" s="11" t="s">
        <v>82</v>
      </c>
      <c r="O243" s="11" t="s">
        <v>76</v>
      </c>
      <c r="P243" s="11" t="s">
        <v>251</v>
      </c>
      <c r="Q243" s="54"/>
      <c r="R243" s="64"/>
      <c r="S243" s="54"/>
      <c r="T243" s="31" t="s">
        <v>784</v>
      </c>
      <c r="U243" s="54"/>
      <c r="V243" s="56"/>
      <c r="W243" s="54"/>
      <c r="X243" s="11" t="s">
        <v>57</v>
      </c>
      <c r="Y243" s="54"/>
      <c r="Z243" s="16"/>
      <c r="AA243" s="19"/>
      <c r="AB243" s="54"/>
      <c r="AC243" s="12" t="str">
        <f t="shared" si="2"/>
        <v>comAddressInfo</v>
      </c>
    </row>
    <row r="244" ht="18.0" customHeight="1">
      <c r="A244" s="11">
        <f t="shared" si="1"/>
        <v>241</v>
      </c>
      <c r="B244" s="11" t="s">
        <v>738</v>
      </c>
      <c r="C244" s="11" t="s">
        <v>739</v>
      </c>
      <c r="D244" s="11" t="s">
        <v>45</v>
      </c>
      <c r="E244" s="11" t="s">
        <v>47</v>
      </c>
      <c r="F244" s="11" t="s">
        <v>785</v>
      </c>
      <c r="G244" s="31" t="s">
        <v>786</v>
      </c>
      <c r="H244" s="11" t="s">
        <v>742</v>
      </c>
      <c r="I244" s="63">
        <v>46323.0</v>
      </c>
      <c r="J244" s="63">
        <v>46334.0</v>
      </c>
      <c r="K244" s="53"/>
      <c r="L244" s="53"/>
      <c r="M244" s="11" t="s">
        <v>787</v>
      </c>
      <c r="N244" s="11" t="s">
        <v>82</v>
      </c>
      <c r="O244" s="11" t="s">
        <v>76</v>
      </c>
      <c r="P244" s="11" t="s">
        <v>251</v>
      </c>
      <c r="Q244" s="54"/>
      <c r="R244" s="64"/>
      <c r="S244" s="54"/>
      <c r="T244" s="31" t="s">
        <v>788</v>
      </c>
      <c r="U244" s="54"/>
      <c r="V244" s="56"/>
      <c r="W244" s="54"/>
      <c r="X244" s="11" t="s">
        <v>57</v>
      </c>
      <c r="Y244" s="54"/>
      <c r="Z244" s="16"/>
      <c r="AA244" s="19"/>
      <c r="AB244" s="54"/>
      <c r="AC244" s="12" t="str">
        <f t="shared" si="2"/>
        <v>comReportViewer</v>
      </c>
    </row>
    <row r="245" ht="18.0" customHeight="1">
      <c r="A245" s="11">
        <f t="shared" si="1"/>
        <v>242</v>
      </c>
      <c r="B245" s="11" t="s">
        <v>738</v>
      </c>
      <c r="C245" s="11" t="s">
        <v>739</v>
      </c>
      <c r="D245" s="11" t="s">
        <v>45</v>
      </c>
      <c r="E245" s="11" t="s">
        <v>47</v>
      </c>
      <c r="F245" s="11" t="s">
        <v>789</v>
      </c>
      <c r="G245" s="31" t="s">
        <v>790</v>
      </c>
      <c r="H245" s="11" t="s">
        <v>742</v>
      </c>
      <c r="I245" s="63">
        <v>46337.0</v>
      </c>
      <c r="J245" s="63">
        <v>46341.0</v>
      </c>
      <c r="K245" s="53"/>
      <c r="L245" s="53"/>
      <c r="M245" s="11" t="s">
        <v>791</v>
      </c>
      <c r="N245" s="11" t="s">
        <v>82</v>
      </c>
      <c r="O245" s="11" t="s">
        <v>76</v>
      </c>
      <c r="P245" s="11" t="s">
        <v>251</v>
      </c>
      <c r="Q245" s="54"/>
      <c r="R245" s="64"/>
      <c r="S245" s="54"/>
      <c r="T245" s="17"/>
      <c r="U245" s="54"/>
      <c r="V245" s="56"/>
      <c r="W245" s="54"/>
      <c r="X245" s="11" t="s">
        <v>57</v>
      </c>
      <c r="Y245" s="54"/>
      <c r="Z245" s="16"/>
      <c r="AA245" s="19"/>
      <c r="AB245" s="54"/>
      <c r="AC245" s="12" t="str">
        <f t="shared" si="2"/>
        <v>comPersonalmnRsn</v>
      </c>
    </row>
    <row r="246" ht="18.0" customHeight="1">
      <c r="A246" s="11">
        <f t="shared" si="1"/>
        <v>243</v>
      </c>
      <c r="B246" s="11" t="s">
        <v>738</v>
      </c>
      <c r="C246" s="11" t="s">
        <v>739</v>
      </c>
      <c r="D246" s="11" t="s">
        <v>45</v>
      </c>
      <c r="E246" s="11" t="s">
        <v>47</v>
      </c>
      <c r="F246" s="12" t="s">
        <v>792</v>
      </c>
      <c r="G246" s="31" t="s">
        <v>793</v>
      </c>
      <c r="H246" s="11" t="s">
        <v>742</v>
      </c>
      <c r="I246" s="63">
        <v>46267.0</v>
      </c>
      <c r="J246" s="63">
        <v>46271.0</v>
      </c>
      <c r="K246" s="53"/>
      <c r="L246" s="53"/>
      <c r="M246" s="11" t="s">
        <v>794</v>
      </c>
      <c r="N246" s="54"/>
      <c r="O246" s="11" t="s">
        <v>55</v>
      </c>
      <c r="P246" s="11" t="s">
        <v>251</v>
      </c>
      <c r="Q246" s="54"/>
      <c r="R246" s="64"/>
      <c r="S246" s="54"/>
      <c r="T246" s="55"/>
      <c r="U246" s="54"/>
      <c r="V246" s="56"/>
      <c r="W246" s="54"/>
      <c r="X246" s="11" t="s">
        <v>57</v>
      </c>
      <c r="Y246" s="54"/>
      <c r="Z246" s="14">
        <v>46268.0</v>
      </c>
      <c r="AA246" s="19"/>
      <c r="AB246" s="54"/>
      <c r="AC246" s="12" t="str">
        <f t="shared" si="2"/>
        <v>ZA011M01</v>
      </c>
    </row>
    <row r="247" ht="18.0" customHeight="1">
      <c r="A247" s="11">
        <f t="shared" si="1"/>
        <v>244</v>
      </c>
      <c r="B247" s="11" t="s">
        <v>738</v>
      </c>
      <c r="C247" s="11" t="s">
        <v>739</v>
      </c>
      <c r="D247" s="11" t="s">
        <v>45</v>
      </c>
      <c r="E247" s="11" t="s">
        <v>47</v>
      </c>
      <c r="F247" s="12" t="s">
        <v>795</v>
      </c>
      <c r="G247" s="31" t="s">
        <v>796</v>
      </c>
      <c r="H247" s="11" t="s">
        <v>752</v>
      </c>
      <c r="I247" s="63">
        <v>46302.0</v>
      </c>
      <c r="J247" s="63">
        <v>46306.0</v>
      </c>
      <c r="K247" s="53"/>
      <c r="L247" s="53"/>
      <c r="M247" s="11" t="s">
        <v>797</v>
      </c>
      <c r="N247" s="54"/>
      <c r="O247" s="11" t="s">
        <v>76</v>
      </c>
      <c r="P247" s="11" t="s">
        <v>251</v>
      </c>
      <c r="Q247" s="54"/>
      <c r="R247" s="64"/>
      <c r="S247" s="54"/>
      <c r="T247" s="55"/>
      <c r="U247" s="54"/>
      <c r="V247" s="56"/>
      <c r="W247" s="54"/>
      <c r="X247" s="11" t="s">
        <v>57</v>
      </c>
      <c r="Y247" s="54"/>
      <c r="Z247" s="14">
        <v>46268.0</v>
      </c>
      <c r="AA247" s="19"/>
      <c r="AB247" s="54"/>
      <c r="AC247" s="12" t="str">
        <f t="shared" si="2"/>
        <v>ZB011M01</v>
      </c>
    </row>
    <row r="248" ht="18.0" customHeight="1">
      <c r="A248" s="11">
        <f t="shared" si="1"/>
        <v>245</v>
      </c>
      <c r="B248" s="11" t="s">
        <v>738</v>
      </c>
      <c r="C248" s="11" t="s">
        <v>739</v>
      </c>
      <c r="D248" s="11" t="s">
        <v>45</v>
      </c>
      <c r="E248" s="11" t="s">
        <v>47</v>
      </c>
      <c r="F248" s="12" t="s">
        <v>798</v>
      </c>
      <c r="G248" s="31" t="s">
        <v>799</v>
      </c>
      <c r="H248" s="11" t="s">
        <v>752</v>
      </c>
      <c r="I248" s="63">
        <v>46302.0</v>
      </c>
      <c r="J248" s="63">
        <v>46306.0</v>
      </c>
      <c r="K248" s="53"/>
      <c r="L248" s="53"/>
      <c r="M248" s="11" t="s">
        <v>797</v>
      </c>
      <c r="N248" s="54"/>
      <c r="O248" s="11" t="s">
        <v>76</v>
      </c>
      <c r="P248" s="11" t="s">
        <v>251</v>
      </c>
      <c r="Q248" s="54"/>
      <c r="R248" s="64"/>
      <c r="S248" s="54"/>
      <c r="T248" s="55"/>
      <c r="U248" s="54"/>
      <c r="V248" s="56"/>
      <c r="W248" s="54"/>
      <c r="X248" s="11" t="s">
        <v>57</v>
      </c>
      <c r="Y248" s="54"/>
      <c r="Z248" s="14">
        <v>46268.0</v>
      </c>
      <c r="AA248" s="19"/>
      <c r="AB248" s="54"/>
      <c r="AC248" s="12" t="str">
        <f t="shared" si="2"/>
        <v>ZB011T01</v>
      </c>
    </row>
    <row r="249" ht="18.0" customHeight="1">
      <c r="A249" s="11">
        <f t="shared" si="1"/>
        <v>246</v>
      </c>
      <c r="B249" s="11" t="s">
        <v>738</v>
      </c>
      <c r="C249" s="11" t="s">
        <v>739</v>
      </c>
      <c r="D249" s="11" t="s">
        <v>45</v>
      </c>
      <c r="E249" s="11" t="s">
        <v>47</v>
      </c>
      <c r="F249" s="12" t="s">
        <v>800</v>
      </c>
      <c r="G249" s="31" t="s">
        <v>801</v>
      </c>
      <c r="H249" s="11" t="s">
        <v>752</v>
      </c>
      <c r="I249" s="63">
        <v>46302.0</v>
      </c>
      <c r="J249" s="63">
        <v>46306.0</v>
      </c>
      <c r="K249" s="53"/>
      <c r="L249" s="53"/>
      <c r="M249" s="11" t="s">
        <v>797</v>
      </c>
      <c r="N249" s="54"/>
      <c r="O249" s="11" t="s">
        <v>76</v>
      </c>
      <c r="P249" s="11" t="s">
        <v>251</v>
      </c>
      <c r="Q249" s="54"/>
      <c r="R249" s="64"/>
      <c r="S249" s="54"/>
      <c r="T249" s="55"/>
      <c r="U249" s="54"/>
      <c r="V249" s="56"/>
      <c r="W249" s="54"/>
      <c r="X249" s="11" t="s">
        <v>57</v>
      </c>
      <c r="Y249" s="54"/>
      <c r="Z249" s="14">
        <v>46268.0</v>
      </c>
      <c r="AA249" s="19"/>
      <c r="AB249" s="54"/>
      <c r="AC249" s="12" t="str">
        <f t="shared" si="2"/>
        <v>ZB011T02</v>
      </c>
    </row>
    <row r="250" ht="18.0" customHeight="1">
      <c r="A250" s="11">
        <f t="shared" si="1"/>
        <v>247</v>
      </c>
      <c r="B250" s="11" t="s">
        <v>738</v>
      </c>
      <c r="C250" s="11" t="s">
        <v>739</v>
      </c>
      <c r="D250" s="11" t="s">
        <v>45</v>
      </c>
      <c r="E250" s="11" t="s">
        <v>47</v>
      </c>
      <c r="F250" s="12" t="s">
        <v>802</v>
      </c>
      <c r="G250" s="31" t="s">
        <v>803</v>
      </c>
      <c r="H250" s="11" t="s">
        <v>752</v>
      </c>
      <c r="I250" s="63">
        <v>46302.0</v>
      </c>
      <c r="J250" s="63">
        <v>46306.0</v>
      </c>
      <c r="K250" s="53"/>
      <c r="L250" s="53"/>
      <c r="M250" s="11" t="s">
        <v>797</v>
      </c>
      <c r="N250" s="54"/>
      <c r="O250" s="11" t="s">
        <v>76</v>
      </c>
      <c r="P250" s="11" t="s">
        <v>251</v>
      </c>
      <c r="Q250" s="54"/>
      <c r="R250" s="64"/>
      <c r="S250" s="54"/>
      <c r="T250" s="55"/>
      <c r="U250" s="54"/>
      <c r="V250" s="56"/>
      <c r="W250" s="54"/>
      <c r="X250" s="11" t="s">
        <v>57</v>
      </c>
      <c r="Y250" s="54"/>
      <c r="Z250" s="14">
        <v>46268.0</v>
      </c>
      <c r="AA250" s="19"/>
      <c r="AB250" s="54"/>
      <c r="AC250" s="12" t="str">
        <f t="shared" si="2"/>
        <v>ZB011T03</v>
      </c>
    </row>
    <row r="251" ht="18.0" customHeight="1">
      <c r="A251" s="11">
        <f t="shared" si="1"/>
        <v>248</v>
      </c>
      <c r="B251" s="11" t="s">
        <v>738</v>
      </c>
      <c r="C251" s="11" t="s">
        <v>739</v>
      </c>
      <c r="D251" s="11" t="s">
        <v>45</v>
      </c>
      <c r="E251" s="11" t="s">
        <v>47</v>
      </c>
      <c r="F251" s="12" t="s">
        <v>804</v>
      </c>
      <c r="G251" s="31" t="s">
        <v>805</v>
      </c>
      <c r="H251" s="11" t="s">
        <v>752</v>
      </c>
      <c r="I251" s="63">
        <v>46302.0</v>
      </c>
      <c r="J251" s="63">
        <v>46306.0</v>
      </c>
      <c r="K251" s="53"/>
      <c r="L251" s="53"/>
      <c r="M251" s="11" t="s">
        <v>797</v>
      </c>
      <c r="N251" s="11" t="s">
        <v>82</v>
      </c>
      <c r="O251" s="11" t="s">
        <v>76</v>
      </c>
      <c r="P251" s="11" t="s">
        <v>251</v>
      </c>
      <c r="Q251" s="54"/>
      <c r="R251" s="64"/>
      <c r="S251" s="54"/>
      <c r="T251" s="55"/>
      <c r="U251" s="54"/>
      <c r="V251" s="56"/>
      <c r="W251" s="54"/>
      <c r="X251" s="11" t="s">
        <v>57</v>
      </c>
      <c r="Y251" s="54"/>
      <c r="Z251" s="14">
        <v>46268.0</v>
      </c>
      <c r="AA251" s="19"/>
      <c r="AB251" s="54"/>
      <c r="AC251" s="12" t="str">
        <f t="shared" si="2"/>
        <v>ZB011P01</v>
      </c>
    </row>
    <row r="252" ht="18.0" customHeight="1">
      <c r="A252" s="11">
        <f t="shared" si="1"/>
        <v>249</v>
      </c>
      <c r="B252" s="11" t="s">
        <v>738</v>
      </c>
      <c r="C252" s="11" t="s">
        <v>739</v>
      </c>
      <c r="D252" s="11" t="s">
        <v>45</v>
      </c>
      <c r="E252" s="11" t="s">
        <v>47</v>
      </c>
      <c r="F252" s="12" t="s">
        <v>806</v>
      </c>
      <c r="G252" s="31" t="s">
        <v>807</v>
      </c>
      <c r="H252" s="11" t="s">
        <v>752</v>
      </c>
      <c r="I252" s="63">
        <v>46309.0</v>
      </c>
      <c r="J252" s="63">
        <v>46320.0</v>
      </c>
      <c r="K252" s="53"/>
      <c r="L252" s="53"/>
      <c r="M252" s="11" t="s">
        <v>808</v>
      </c>
      <c r="N252" s="54"/>
      <c r="O252" s="11" t="s">
        <v>76</v>
      </c>
      <c r="P252" s="11" t="s">
        <v>251</v>
      </c>
      <c r="Q252" s="54"/>
      <c r="R252" s="64"/>
      <c r="S252" s="54"/>
      <c r="T252" s="55"/>
      <c r="U252" s="54"/>
      <c r="V252" s="56"/>
      <c r="W252" s="54"/>
      <c r="X252" s="11" t="s">
        <v>57</v>
      </c>
      <c r="Y252" s="54"/>
      <c r="Z252" s="14">
        <v>46268.0</v>
      </c>
      <c r="AA252" s="19"/>
      <c r="AB252" s="54"/>
      <c r="AC252" s="12" t="str">
        <f t="shared" si="2"/>
        <v>ZB021M01</v>
      </c>
    </row>
    <row r="253" ht="18.0" customHeight="1">
      <c r="A253" s="11">
        <f t="shared" si="1"/>
        <v>250</v>
      </c>
      <c r="B253" s="11" t="s">
        <v>738</v>
      </c>
      <c r="C253" s="11" t="s">
        <v>739</v>
      </c>
      <c r="D253" s="11" t="s">
        <v>45</v>
      </c>
      <c r="E253" s="11" t="s">
        <v>47</v>
      </c>
      <c r="F253" s="12" t="s">
        <v>809</v>
      </c>
      <c r="G253" s="31" t="s">
        <v>810</v>
      </c>
      <c r="H253" s="11" t="s">
        <v>742</v>
      </c>
      <c r="I253" s="63">
        <v>46323.0</v>
      </c>
      <c r="J253" s="63">
        <v>46334.0</v>
      </c>
      <c r="K253" s="53"/>
      <c r="L253" s="53"/>
      <c r="M253" s="11" t="s">
        <v>811</v>
      </c>
      <c r="N253" s="54"/>
      <c r="O253" s="11" t="s">
        <v>55</v>
      </c>
      <c r="P253" s="11" t="s">
        <v>251</v>
      </c>
      <c r="Q253" s="54"/>
      <c r="R253" s="64"/>
      <c r="S253" s="54"/>
      <c r="T253" s="55"/>
      <c r="U253" s="54"/>
      <c r="V253" s="56"/>
      <c r="W253" s="54"/>
      <c r="X253" s="11" t="s">
        <v>57</v>
      </c>
      <c r="Y253" s="54"/>
      <c r="Z253" s="14">
        <v>46268.0</v>
      </c>
      <c r="AA253" s="19"/>
      <c r="AB253" s="54"/>
      <c r="AC253" s="12" t="str">
        <f t="shared" si="2"/>
        <v>ZC011M01</v>
      </c>
    </row>
    <row r="254" ht="18.0" customHeight="1">
      <c r="A254" s="11">
        <f t="shared" si="1"/>
        <v>251</v>
      </c>
      <c r="B254" s="11" t="s">
        <v>738</v>
      </c>
      <c r="C254" s="11" t="s">
        <v>739</v>
      </c>
      <c r="D254" s="11" t="s">
        <v>45</v>
      </c>
      <c r="E254" s="11" t="s">
        <v>47</v>
      </c>
      <c r="F254" s="12" t="s">
        <v>812</v>
      </c>
      <c r="G254" s="31" t="s">
        <v>813</v>
      </c>
      <c r="H254" s="11" t="s">
        <v>742</v>
      </c>
      <c r="I254" s="63">
        <v>46323.0</v>
      </c>
      <c r="J254" s="63">
        <v>46334.0</v>
      </c>
      <c r="K254" s="53"/>
      <c r="L254" s="53"/>
      <c r="M254" s="11" t="s">
        <v>814</v>
      </c>
      <c r="N254" s="54"/>
      <c r="O254" s="11" t="s">
        <v>55</v>
      </c>
      <c r="P254" s="11" t="s">
        <v>251</v>
      </c>
      <c r="Q254" s="54"/>
      <c r="R254" s="64"/>
      <c r="S254" s="54"/>
      <c r="T254" s="13" t="s">
        <v>815</v>
      </c>
      <c r="U254" s="54"/>
      <c r="V254" s="56"/>
      <c r="W254" s="54"/>
      <c r="X254" s="11" t="s">
        <v>57</v>
      </c>
      <c r="Y254" s="54"/>
      <c r="Z254" s="14">
        <v>46268.0</v>
      </c>
      <c r="AA254" s="19"/>
      <c r="AB254" s="54"/>
      <c r="AC254" s="12" t="str">
        <f t="shared" si="2"/>
        <v>ZC021M01</v>
      </c>
    </row>
    <row r="255" ht="18.0" customHeight="1">
      <c r="A255" s="11">
        <f t="shared" si="1"/>
        <v>252</v>
      </c>
      <c r="B255" s="11" t="s">
        <v>738</v>
      </c>
      <c r="C255" s="11" t="s">
        <v>739</v>
      </c>
      <c r="D255" s="11" t="s">
        <v>45</v>
      </c>
      <c r="E255" s="11" t="s">
        <v>47</v>
      </c>
      <c r="F255" s="12" t="s">
        <v>816</v>
      </c>
      <c r="G255" s="31" t="s">
        <v>817</v>
      </c>
      <c r="H255" s="11" t="s">
        <v>742</v>
      </c>
      <c r="I255" s="63">
        <v>46323.0</v>
      </c>
      <c r="J255" s="63">
        <v>46334.0</v>
      </c>
      <c r="K255" s="53"/>
      <c r="L255" s="53"/>
      <c r="M255" s="11" t="s">
        <v>818</v>
      </c>
      <c r="N255" s="54"/>
      <c r="O255" s="11" t="s">
        <v>55</v>
      </c>
      <c r="P255" s="11" t="s">
        <v>251</v>
      </c>
      <c r="Q255" s="54"/>
      <c r="R255" s="64"/>
      <c r="S255" s="54"/>
      <c r="T255" s="55"/>
      <c r="U255" s="54"/>
      <c r="V255" s="56"/>
      <c r="W255" s="54"/>
      <c r="X255" s="11" t="s">
        <v>57</v>
      </c>
      <c r="Y255" s="54"/>
      <c r="Z255" s="14">
        <v>46268.0</v>
      </c>
      <c r="AA255" s="19"/>
      <c r="AB255" s="54"/>
      <c r="AC255" s="12" t="str">
        <f t="shared" si="2"/>
        <v>ZC031M01</v>
      </c>
    </row>
    <row r="256" ht="18.0" customHeight="1">
      <c r="A256" s="11">
        <f t="shared" si="1"/>
        <v>253</v>
      </c>
      <c r="B256" s="11" t="s">
        <v>738</v>
      </c>
      <c r="C256" s="11" t="s">
        <v>739</v>
      </c>
      <c r="D256" s="11" t="s">
        <v>45</v>
      </c>
      <c r="E256" s="11" t="s">
        <v>47</v>
      </c>
      <c r="F256" s="12" t="s">
        <v>819</v>
      </c>
      <c r="G256" s="31" t="s">
        <v>820</v>
      </c>
      <c r="H256" s="11" t="s">
        <v>752</v>
      </c>
      <c r="I256" s="63">
        <v>46274.0</v>
      </c>
      <c r="J256" s="63">
        <v>46288.0</v>
      </c>
      <c r="K256" s="53"/>
      <c r="L256" s="53"/>
      <c r="M256" s="11" t="s">
        <v>821</v>
      </c>
      <c r="N256" s="54"/>
      <c r="O256" s="11" t="s">
        <v>55</v>
      </c>
      <c r="P256" s="11" t="s">
        <v>251</v>
      </c>
      <c r="Q256" s="54"/>
      <c r="R256" s="64"/>
      <c r="S256" s="54"/>
      <c r="T256" s="55"/>
      <c r="U256" s="54"/>
      <c r="V256" s="56"/>
      <c r="W256" s="54"/>
      <c r="X256" s="11" t="s">
        <v>57</v>
      </c>
      <c r="Y256" s="54"/>
      <c r="Z256" s="14">
        <v>46268.0</v>
      </c>
      <c r="AA256" s="19"/>
      <c r="AB256" s="54"/>
      <c r="AC256" s="12" t="str">
        <f t="shared" si="2"/>
        <v>ZD011M01</v>
      </c>
    </row>
    <row r="257" ht="18.0" customHeight="1">
      <c r="A257" s="11">
        <f t="shared" si="1"/>
        <v>254</v>
      </c>
      <c r="B257" s="11" t="s">
        <v>738</v>
      </c>
      <c r="C257" s="11" t="s">
        <v>739</v>
      </c>
      <c r="D257" s="11" t="s">
        <v>45</v>
      </c>
      <c r="E257" s="11" t="s">
        <v>47</v>
      </c>
      <c r="F257" s="12" t="s">
        <v>822</v>
      </c>
      <c r="G257" s="31" t="s">
        <v>823</v>
      </c>
      <c r="H257" s="11" t="s">
        <v>752</v>
      </c>
      <c r="I257" s="63">
        <v>46274.0</v>
      </c>
      <c r="J257" s="63">
        <v>46288.0</v>
      </c>
      <c r="K257" s="53"/>
      <c r="L257" s="53"/>
      <c r="M257" s="11" t="s">
        <v>824</v>
      </c>
      <c r="N257" s="54"/>
      <c r="O257" s="11" t="s">
        <v>55</v>
      </c>
      <c r="P257" s="11" t="s">
        <v>251</v>
      </c>
      <c r="Q257" s="54"/>
      <c r="R257" s="64"/>
      <c r="S257" s="54"/>
      <c r="T257" s="55"/>
      <c r="U257" s="54"/>
      <c r="V257" s="56"/>
      <c r="W257" s="54"/>
      <c r="X257" s="11" t="s">
        <v>57</v>
      </c>
      <c r="Y257" s="54"/>
      <c r="Z257" s="14">
        <v>46268.0</v>
      </c>
      <c r="AA257" s="19"/>
      <c r="AB257" s="54"/>
      <c r="AC257" s="12" t="str">
        <f t="shared" si="2"/>
        <v>ZD021M01</v>
      </c>
    </row>
    <row r="258" ht="18.0" customHeight="1">
      <c r="A258" s="11">
        <f t="shared" si="1"/>
        <v>255</v>
      </c>
      <c r="B258" s="11" t="s">
        <v>738</v>
      </c>
      <c r="C258" s="11" t="s">
        <v>739</v>
      </c>
      <c r="D258" s="11" t="s">
        <v>45</v>
      </c>
      <c r="E258" s="11" t="s">
        <v>47</v>
      </c>
      <c r="F258" s="12" t="s">
        <v>825</v>
      </c>
      <c r="G258" s="13" t="s">
        <v>826</v>
      </c>
      <c r="H258" s="11" t="s">
        <v>752</v>
      </c>
      <c r="I258" s="63">
        <v>46344.0</v>
      </c>
      <c r="J258" s="63">
        <v>46348.0</v>
      </c>
      <c r="K258" s="53"/>
      <c r="L258" s="53"/>
      <c r="M258" s="11" t="s">
        <v>827</v>
      </c>
      <c r="N258" s="54"/>
      <c r="O258" s="11" t="s">
        <v>76</v>
      </c>
      <c r="P258" s="11" t="s">
        <v>251</v>
      </c>
      <c r="Q258" s="54"/>
      <c r="R258" s="64"/>
      <c r="S258" s="54"/>
      <c r="T258" s="55"/>
      <c r="U258" s="54"/>
      <c r="V258" s="56"/>
      <c r="W258" s="54"/>
      <c r="X258" s="11" t="s">
        <v>57</v>
      </c>
      <c r="Y258" s="54"/>
      <c r="Z258" s="14">
        <v>46268.0</v>
      </c>
      <c r="AA258" s="19"/>
      <c r="AB258" s="54"/>
      <c r="AC258" s="12" t="str">
        <f t="shared" si="2"/>
        <v>ZE011M01</v>
      </c>
    </row>
    <row r="259" ht="18.0" customHeight="1">
      <c r="A259" s="11">
        <f t="shared" si="1"/>
        <v>256</v>
      </c>
      <c r="B259" s="11" t="s">
        <v>738</v>
      </c>
      <c r="C259" s="11" t="s">
        <v>739</v>
      </c>
      <c r="D259" s="11" t="s">
        <v>45</v>
      </c>
      <c r="E259" s="11" t="s">
        <v>47</v>
      </c>
      <c r="F259" s="12" t="s">
        <v>828</v>
      </c>
      <c r="G259" s="31" t="s">
        <v>829</v>
      </c>
      <c r="H259" s="11" t="s">
        <v>752</v>
      </c>
      <c r="I259" s="63">
        <v>46344.0</v>
      </c>
      <c r="J259" s="63">
        <v>46348.0</v>
      </c>
      <c r="K259" s="53"/>
      <c r="L259" s="53"/>
      <c r="M259" s="11" t="s">
        <v>830</v>
      </c>
      <c r="N259" s="54"/>
      <c r="O259" s="11" t="s">
        <v>76</v>
      </c>
      <c r="P259" s="11" t="s">
        <v>251</v>
      </c>
      <c r="Q259" s="54"/>
      <c r="R259" s="64"/>
      <c r="S259" s="54"/>
      <c r="T259" s="55"/>
      <c r="U259" s="54"/>
      <c r="V259" s="56"/>
      <c r="W259" s="54"/>
      <c r="X259" s="11" t="s">
        <v>57</v>
      </c>
      <c r="Y259" s="54"/>
      <c r="Z259" s="14">
        <v>46268.0</v>
      </c>
      <c r="AA259" s="19"/>
      <c r="AB259" s="54"/>
      <c r="AC259" s="12" t="str">
        <f t="shared" si="2"/>
        <v>ZE021M01</v>
      </c>
    </row>
    <row r="260" ht="18.0" customHeight="1">
      <c r="A260" s="11">
        <f t="shared" si="1"/>
        <v>257</v>
      </c>
      <c r="B260" s="11" t="s">
        <v>738</v>
      </c>
      <c r="C260" s="11" t="s">
        <v>739</v>
      </c>
      <c r="D260" s="11" t="s">
        <v>45</v>
      </c>
      <c r="E260" s="11" t="s">
        <v>47</v>
      </c>
      <c r="F260" s="12" t="s">
        <v>831</v>
      </c>
      <c r="G260" s="31" t="s">
        <v>832</v>
      </c>
      <c r="H260" s="11" t="s">
        <v>742</v>
      </c>
      <c r="I260" s="63">
        <v>46295.0</v>
      </c>
      <c r="J260" s="63">
        <v>46299.0</v>
      </c>
      <c r="K260" s="53"/>
      <c r="L260" s="53"/>
      <c r="M260" s="11" t="s">
        <v>833</v>
      </c>
      <c r="N260" s="54"/>
      <c r="O260" s="11" t="s">
        <v>85</v>
      </c>
      <c r="P260" s="11" t="s">
        <v>251</v>
      </c>
      <c r="Q260" s="54"/>
      <c r="R260" s="64"/>
      <c r="S260" s="54"/>
      <c r="T260" s="55"/>
      <c r="U260" s="54"/>
      <c r="V260" s="56"/>
      <c r="W260" s="54"/>
      <c r="X260" s="11" t="s">
        <v>57</v>
      </c>
      <c r="Y260" s="54"/>
      <c r="Z260" s="14">
        <v>46268.0</v>
      </c>
      <c r="AA260" s="19"/>
      <c r="AB260" s="54"/>
      <c r="AC260" s="12" t="str">
        <f t="shared" si="2"/>
        <v>ZF011M01</v>
      </c>
    </row>
    <row r="261" ht="18.0" customHeight="1">
      <c r="A261" s="11">
        <f t="shared" si="1"/>
        <v>258</v>
      </c>
      <c r="B261" s="11" t="s">
        <v>738</v>
      </c>
      <c r="C261" s="11" t="s">
        <v>739</v>
      </c>
      <c r="D261" s="11" t="s">
        <v>45</v>
      </c>
      <c r="E261" s="11" t="s">
        <v>47</v>
      </c>
      <c r="F261" s="12" t="s">
        <v>834</v>
      </c>
      <c r="G261" s="31" t="s">
        <v>835</v>
      </c>
      <c r="H261" s="11" t="s">
        <v>752</v>
      </c>
      <c r="I261" s="63">
        <v>46295.0</v>
      </c>
      <c r="J261" s="63">
        <v>46299.0</v>
      </c>
      <c r="K261" s="53"/>
      <c r="L261" s="53"/>
      <c r="M261" s="11" t="s">
        <v>836</v>
      </c>
      <c r="N261" s="54"/>
      <c r="O261" s="11" t="s">
        <v>85</v>
      </c>
      <c r="P261" s="11" t="s">
        <v>251</v>
      </c>
      <c r="Q261" s="54"/>
      <c r="R261" s="64"/>
      <c r="S261" s="54"/>
      <c r="T261" s="55"/>
      <c r="U261" s="54"/>
      <c r="V261" s="56"/>
      <c r="W261" s="54"/>
      <c r="X261" s="11" t="s">
        <v>57</v>
      </c>
      <c r="Y261" s="54"/>
      <c r="Z261" s="14">
        <v>46268.0</v>
      </c>
      <c r="AA261" s="19"/>
      <c r="AB261" s="54"/>
      <c r="AC261" s="12" t="str">
        <f t="shared" si="2"/>
        <v>ZF021M01</v>
      </c>
    </row>
    <row r="262" ht="18.0" customHeight="1">
      <c r="A262" s="11">
        <f t="shared" si="1"/>
        <v>259</v>
      </c>
      <c r="B262" s="11" t="s">
        <v>738</v>
      </c>
      <c r="C262" s="11" t="s">
        <v>739</v>
      </c>
      <c r="D262" s="11" t="s">
        <v>45</v>
      </c>
      <c r="E262" s="11" t="s">
        <v>47</v>
      </c>
      <c r="F262" s="12" t="s">
        <v>837</v>
      </c>
      <c r="G262" s="31" t="s">
        <v>838</v>
      </c>
      <c r="H262" s="11" t="s">
        <v>742</v>
      </c>
      <c r="I262" s="63">
        <v>46309.0</v>
      </c>
      <c r="J262" s="63">
        <v>46320.0</v>
      </c>
      <c r="K262" s="53"/>
      <c r="L262" s="53"/>
      <c r="M262" s="11" t="s">
        <v>839</v>
      </c>
      <c r="N262" s="54"/>
      <c r="O262" s="11" t="s">
        <v>55</v>
      </c>
      <c r="P262" s="11" t="s">
        <v>251</v>
      </c>
      <c r="Q262" s="54"/>
      <c r="R262" s="64"/>
      <c r="S262" s="54"/>
      <c r="T262" s="55"/>
      <c r="U262" s="54"/>
      <c r="V262" s="56"/>
      <c r="W262" s="54"/>
      <c r="X262" s="11" t="s">
        <v>57</v>
      </c>
      <c r="Y262" s="54"/>
      <c r="Z262" s="14">
        <v>46268.0</v>
      </c>
      <c r="AA262" s="19"/>
      <c r="AB262" s="54"/>
      <c r="AC262" s="12" t="str">
        <f t="shared" si="2"/>
        <v>ZG011M01</v>
      </c>
    </row>
    <row r="263" ht="18.0" customHeight="1">
      <c r="A263" s="11">
        <f t="shared" si="1"/>
        <v>260</v>
      </c>
      <c r="B263" s="11" t="s">
        <v>738</v>
      </c>
      <c r="C263" s="11" t="s">
        <v>739</v>
      </c>
      <c r="D263" s="11" t="s">
        <v>45</v>
      </c>
      <c r="E263" s="11" t="s">
        <v>47</v>
      </c>
      <c r="F263" s="12" t="s">
        <v>840</v>
      </c>
      <c r="G263" s="31" t="s">
        <v>841</v>
      </c>
      <c r="H263" s="11" t="s">
        <v>742</v>
      </c>
      <c r="I263" s="63">
        <v>46309.0</v>
      </c>
      <c r="J263" s="63">
        <v>46320.0</v>
      </c>
      <c r="K263" s="53"/>
      <c r="L263" s="53"/>
      <c r="M263" s="11" t="s">
        <v>842</v>
      </c>
      <c r="N263" s="54"/>
      <c r="O263" s="11" t="s">
        <v>55</v>
      </c>
      <c r="P263" s="11" t="s">
        <v>251</v>
      </c>
      <c r="Q263" s="54"/>
      <c r="R263" s="64"/>
      <c r="S263" s="54"/>
      <c r="T263" s="55"/>
      <c r="U263" s="54"/>
      <c r="V263" s="56"/>
      <c r="W263" s="54"/>
      <c r="X263" s="11" t="s">
        <v>57</v>
      </c>
      <c r="Y263" s="54"/>
      <c r="Z263" s="14">
        <v>46268.0</v>
      </c>
      <c r="AA263" s="19"/>
      <c r="AB263" s="54"/>
      <c r="AC263" s="12" t="str">
        <f t="shared" si="2"/>
        <v>ZG021M01</v>
      </c>
    </row>
    <row r="264" ht="18.0" customHeight="1">
      <c r="A264" s="11">
        <f t="shared" si="1"/>
        <v>261</v>
      </c>
      <c r="B264" s="11" t="s">
        <v>738</v>
      </c>
      <c r="C264" s="11" t="s">
        <v>739</v>
      </c>
      <c r="D264" s="11" t="s">
        <v>45</v>
      </c>
      <c r="E264" s="11" t="s">
        <v>47</v>
      </c>
      <c r="F264" s="11" t="s">
        <v>843</v>
      </c>
      <c r="G264" s="13" t="s">
        <v>844</v>
      </c>
      <c r="H264" s="11" t="s">
        <v>742</v>
      </c>
      <c r="I264" s="63">
        <v>46309.0</v>
      </c>
      <c r="J264" s="63">
        <v>46320.0</v>
      </c>
      <c r="K264" s="53"/>
      <c r="L264" s="53"/>
      <c r="M264" s="11" t="s">
        <v>845</v>
      </c>
      <c r="N264" s="54"/>
      <c r="O264" s="11" t="s">
        <v>55</v>
      </c>
      <c r="P264" s="11" t="s">
        <v>251</v>
      </c>
      <c r="Q264" s="54"/>
      <c r="R264" s="64"/>
      <c r="S264" s="54"/>
      <c r="T264" s="55"/>
      <c r="U264" s="54"/>
      <c r="V264" s="56"/>
      <c r="W264" s="54"/>
      <c r="X264" s="11" t="s">
        <v>57</v>
      </c>
      <c r="Y264" s="54"/>
      <c r="Z264" s="14">
        <v>46268.0</v>
      </c>
      <c r="AA264" s="19"/>
      <c r="AB264" s="54"/>
      <c r="AC264" s="12" t="str">
        <f t="shared" si="2"/>
        <v>ZG031M01</v>
      </c>
    </row>
    <row r="265" ht="18.0" customHeight="1">
      <c r="A265" s="11">
        <f t="shared" si="1"/>
        <v>262</v>
      </c>
      <c r="B265" s="11" t="s">
        <v>738</v>
      </c>
      <c r="C265" s="11" t="s">
        <v>739</v>
      </c>
      <c r="D265" s="11" t="s">
        <v>45</v>
      </c>
      <c r="E265" s="11" t="s">
        <v>47</v>
      </c>
      <c r="F265" s="11" t="s">
        <v>846</v>
      </c>
      <c r="G265" s="13" t="s">
        <v>847</v>
      </c>
      <c r="H265" s="11" t="s">
        <v>752</v>
      </c>
      <c r="I265" s="63">
        <v>46309.0</v>
      </c>
      <c r="J265" s="63">
        <v>46320.0</v>
      </c>
      <c r="K265" s="53"/>
      <c r="L265" s="53"/>
      <c r="M265" s="11" t="s">
        <v>848</v>
      </c>
      <c r="N265" s="54"/>
      <c r="O265" s="11" t="s">
        <v>55</v>
      </c>
      <c r="P265" s="11" t="s">
        <v>251</v>
      </c>
      <c r="Q265" s="54"/>
      <c r="R265" s="64"/>
      <c r="S265" s="54"/>
      <c r="T265" s="55"/>
      <c r="U265" s="54"/>
      <c r="V265" s="56"/>
      <c r="W265" s="54"/>
      <c r="X265" s="11" t="s">
        <v>57</v>
      </c>
      <c r="Y265" s="54"/>
      <c r="Z265" s="14">
        <v>46268.0</v>
      </c>
      <c r="AA265" s="19"/>
      <c r="AB265" s="54"/>
      <c r="AC265" s="12" t="str">
        <f t="shared" si="2"/>
        <v>ZG041M01</v>
      </c>
    </row>
    <row r="266" ht="18.0" customHeight="1">
      <c r="A266" s="11">
        <f t="shared" si="1"/>
        <v>263</v>
      </c>
      <c r="B266" s="11" t="s">
        <v>738</v>
      </c>
      <c r="C266" s="11" t="s">
        <v>739</v>
      </c>
      <c r="D266" s="11" t="s">
        <v>45</v>
      </c>
      <c r="E266" s="11" t="s">
        <v>47</v>
      </c>
      <c r="F266" s="11" t="s">
        <v>849</v>
      </c>
      <c r="G266" s="13" t="s">
        <v>850</v>
      </c>
      <c r="H266" s="11" t="s">
        <v>752</v>
      </c>
      <c r="I266" s="63">
        <v>46309.0</v>
      </c>
      <c r="J266" s="63">
        <v>46320.0</v>
      </c>
      <c r="K266" s="53"/>
      <c r="L266" s="53"/>
      <c r="M266" s="11" t="s">
        <v>848</v>
      </c>
      <c r="N266" s="54"/>
      <c r="O266" s="11" t="s">
        <v>55</v>
      </c>
      <c r="P266" s="11" t="s">
        <v>251</v>
      </c>
      <c r="Q266" s="54"/>
      <c r="R266" s="64"/>
      <c r="S266" s="54"/>
      <c r="T266" s="55"/>
      <c r="U266" s="54"/>
      <c r="V266" s="56"/>
      <c r="W266" s="54"/>
      <c r="X266" s="11" t="s">
        <v>57</v>
      </c>
      <c r="Y266" s="54"/>
      <c r="Z266" s="14">
        <v>46268.0</v>
      </c>
      <c r="AA266" s="19"/>
      <c r="AB266" s="54"/>
      <c r="AC266" s="12" t="str">
        <f t="shared" si="2"/>
        <v>ZG041P01</v>
      </c>
    </row>
    <row r="267" ht="18.0" customHeight="1">
      <c r="A267" s="11">
        <f t="shared" si="1"/>
        <v>264</v>
      </c>
      <c r="B267" s="11" t="s">
        <v>738</v>
      </c>
      <c r="C267" s="11" t="s">
        <v>739</v>
      </c>
      <c r="D267" s="11" t="s">
        <v>45</v>
      </c>
      <c r="E267" s="11" t="s">
        <v>47</v>
      </c>
      <c r="F267" s="11" t="s">
        <v>851</v>
      </c>
      <c r="G267" s="13" t="s">
        <v>852</v>
      </c>
      <c r="H267" s="11" t="s">
        <v>752</v>
      </c>
      <c r="I267" s="63">
        <v>46309.0</v>
      </c>
      <c r="J267" s="63">
        <v>46320.0</v>
      </c>
      <c r="K267" s="53"/>
      <c r="L267" s="53"/>
      <c r="M267" s="11" t="s">
        <v>853</v>
      </c>
      <c r="N267" s="54"/>
      <c r="O267" s="11" t="s">
        <v>55</v>
      </c>
      <c r="P267" s="11" t="s">
        <v>251</v>
      </c>
      <c r="Q267" s="54"/>
      <c r="R267" s="64"/>
      <c r="S267" s="54"/>
      <c r="T267" s="55"/>
      <c r="U267" s="54"/>
      <c r="V267" s="56"/>
      <c r="W267" s="54"/>
      <c r="X267" s="11" t="s">
        <v>57</v>
      </c>
      <c r="Y267" s="54"/>
      <c r="Z267" s="14">
        <v>46268.0</v>
      </c>
      <c r="AA267" s="19"/>
      <c r="AB267" s="54"/>
      <c r="AC267" s="12" t="str">
        <f t="shared" si="2"/>
        <v>ZG051M01</v>
      </c>
    </row>
    <row r="268" ht="18.0" customHeight="1">
      <c r="A268" s="11">
        <f t="shared" si="1"/>
        <v>265</v>
      </c>
      <c r="B268" s="11" t="s">
        <v>738</v>
      </c>
      <c r="C268" s="11" t="s">
        <v>739</v>
      </c>
      <c r="D268" s="11" t="s">
        <v>45</v>
      </c>
      <c r="E268" s="11" t="s">
        <v>47</v>
      </c>
      <c r="F268" s="11" t="s">
        <v>854</v>
      </c>
      <c r="G268" s="13" t="s">
        <v>855</v>
      </c>
      <c r="H268" s="11" t="s">
        <v>752</v>
      </c>
      <c r="I268" s="63">
        <v>46309.0</v>
      </c>
      <c r="J268" s="63">
        <v>46320.0</v>
      </c>
      <c r="K268" s="53"/>
      <c r="L268" s="53"/>
      <c r="M268" s="11" t="s">
        <v>856</v>
      </c>
      <c r="N268" s="54"/>
      <c r="O268" s="11" t="s">
        <v>55</v>
      </c>
      <c r="P268" s="11" t="s">
        <v>251</v>
      </c>
      <c r="Q268" s="54"/>
      <c r="R268" s="64"/>
      <c r="S268" s="54"/>
      <c r="T268" s="55"/>
      <c r="U268" s="54"/>
      <c r="V268" s="56"/>
      <c r="W268" s="54"/>
      <c r="X268" s="11" t="s">
        <v>57</v>
      </c>
      <c r="Y268" s="54"/>
      <c r="Z268" s="14">
        <v>46268.0</v>
      </c>
      <c r="AA268" s="19"/>
      <c r="AB268" s="54"/>
      <c r="AC268" s="12" t="str">
        <f t="shared" si="2"/>
        <v>ZG061M01</v>
      </c>
    </row>
    <row r="269" ht="18.0" customHeight="1">
      <c r="A269" s="11">
        <f t="shared" si="1"/>
        <v>266</v>
      </c>
      <c r="B269" s="11" t="s">
        <v>738</v>
      </c>
      <c r="C269" s="11" t="s">
        <v>739</v>
      </c>
      <c r="D269" s="11" t="s">
        <v>45</v>
      </c>
      <c r="E269" s="11" t="s">
        <v>47</v>
      </c>
      <c r="F269" s="11" t="s">
        <v>857</v>
      </c>
      <c r="G269" s="13" t="s">
        <v>858</v>
      </c>
      <c r="H269" s="11" t="s">
        <v>742</v>
      </c>
      <c r="I269" s="63">
        <v>46344.0</v>
      </c>
      <c r="J269" s="63">
        <v>46348.0</v>
      </c>
      <c r="K269" s="53"/>
      <c r="L269" s="53"/>
      <c r="M269" s="11" t="s">
        <v>859</v>
      </c>
      <c r="N269" s="54"/>
      <c r="O269" s="11" t="s">
        <v>76</v>
      </c>
      <c r="P269" s="11" t="s">
        <v>251</v>
      </c>
      <c r="Q269" s="54"/>
      <c r="R269" s="64"/>
      <c r="S269" s="54"/>
      <c r="T269" s="55"/>
      <c r="U269" s="54"/>
      <c r="V269" s="56"/>
      <c r="W269" s="54"/>
      <c r="X269" s="11" t="s">
        <v>57</v>
      </c>
      <c r="Y269" s="54"/>
      <c r="Z269" s="14">
        <v>46268.0</v>
      </c>
      <c r="AA269" s="19"/>
      <c r="AB269" s="54"/>
      <c r="AC269" s="12" t="str">
        <f t="shared" si="2"/>
        <v>ZH011M01</v>
      </c>
    </row>
    <row r="270" ht="18.0" customHeight="1">
      <c r="A270" s="11">
        <f t="shared" si="1"/>
        <v>267</v>
      </c>
      <c r="B270" s="11" t="s">
        <v>738</v>
      </c>
      <c r="C270" s="11" t="s">
        <v>739</v>
      </c>
      <c r="D270" s="11" t="s">
        <v>45</v>
      </c>
      <c r="E270" s="11" t="s">
        <v>47</v>
      </c>
      <c r="F270" s="11" t="s">
        <v>860</v>
      </c>
      <c r="G270" s="13" t="s">
        <v>861</v>
      </c>
      <c r="H270" s="11" t="s">
        <v>742</v>
      </c>
      <c r="I270" s="63">
        <v>46344.0</v>
      </c>
      <c r="J270" s="63">
        <v>46348.0</v>
      </c>
      <c r="K270" s="53"/>
      <c r="L270" s="53"/>
      <c r="M270" s="11" t="s">
        <v>862</v>
      </c>
      <c r="N270" s="54"/>
      <c r="O270" s="11" t="s">
        <v>76</v>
      </c>
      <c r="P270" s="11" t="s">
        <v>251</v>
      </c>
      <c r="Q270" s="54"/>
      <c r="R270" s="64"/>
      <c r="S270" s="54"/>
      <c r="T270" s="55"/>
      <c r="U270" s="54"/>
      <c r="V270" s="56"/>
      <c r="W270" s="54"/>
      <c r="X270" s="11" t="s">
        <v>57</v>
      </c>
      <c r="Y270" s="54"/>
      <c r="Z270" s="14">
        <v>46268.0</v>
      </c>
      <c r="AA270" s="19"/>
      <c r="AB270" s="54"/>
      <c r="AC270" s="12" t="str">
        <f t="shared" si="2"/>
        <v>ZH021M01</v>
      </c>
    </row>
    <row r="271" ht="18.0" customHeight="1">
      <c r="A271" s="11">
        <f t="shared" si="1"/>
        <v>268</v>
      </c>
      <c r="B271" s="11" t="s">
        <v>738</v>
      </c>
      <c r="C271" s="11" t="s">
        <v>739</v>
      </c>
      <c r="D271" s="11" t="s">
        <v>45</v>
      </c>
      <c r="E271" s="11" t="s">
        <v>47</v>
      </c>
      <c r="F271" s="11" t="s">
        <v>863</v>
      </c>
      <c r="G271" s="13" t="s">
        <v>864</v>
      </c>
      <c r="H271" s="11" t="s">
        <v>752</v>
      </c>
      <c r="I271" s="63">
        <v>46267.0</v>
      </c>
      <c r="J271" s="63">
        <v>46271.0</v>
      </c>
      <c r="K271" s="53"/>
      <c r="L271" s="53"/>
      <c r="M271" s="11" t="s">
        <v>865</v>
      </c>
      <c r="N271" s="54"/>
      <c r="O271" s="11" t="s">
        <v>55</v>
      </c>
      <c r="P271" s="11" t="s">
        <v>251</v>
      </c>
      <c r="Q271" s="54"/>
      <c r="R271" s="64"/>
      <c r="S271" s="54"/>
      <c r="T271" s="55"/>
      <c r="U271" s="54"/>
      <c r="V271" s="56"/>
      <c r="W271" s="54"/>
      <c r="X271" s="11" t="s">
        <v>57</v>
      </c>
      <c r="Y271" s="54"/>
      <c r="Z271" s="14">
        <v>46268.0</v>
      </c>
      <c r="AA271" s="19"/>
      <c r="AB271" s="54"/>
      <c r="AC271" s="12" t="str">
        <f t="shared" si="2"/>
        <v>ZZ011M01</v>
      </c>
    </row>
    <row r="272" ht="18.0" customHeight="1">
      <c r="A272" s="11">
        <f t="shared" si="1"/>
        <v>269</v>
      </c>
      <c r="B272" s="11" t="s">
        <v>738</v>
      </c>
      <c r="C272" s="11" t="s">
        <v>739</v>
      </c>
      <c r="D272" s="11" t="s">
        <v>866</v>
      </c>
      <c r="E272" s="11" t="s">
        <v>866</v>
      </c>
      <c r="F272" s="11" t="s">
        <v>867</v>
      </c>
      <c r="G272" s="13" t="s">
        <v>868</v>
      </c>
      <c r="H272" s="11" t="s">
        <v>752</v>
      </c>
      <c r="I272" s="63">
        <v>46323.0</v>
      </c>
      <c r="J272" s="63">
        <v>46334.0</v>
      </c>
      <c r="K272" s="53"/>
      <c r="L272" s="53"/>
      <c r="M272" s="54"/>
      <c r="N272" s="54"/>
      <c r="O272" s="11" t="s">
        <v>76</v>
      </c>
      <c r="P272" s="11" t="s">
        <v>251</v>
      </c>
      <c r="Q272" s="54"/>
      <c r="R272" s="64"/>
      <c r="S272" s="54"/>
      <c r="T272" s="31" t="s">
        <v>869</v>
      </c>
      <c r="U272" s="54"/>
      <c r="V272" s="56"/>
      <c r="W272" s="54"/>
      <c r="X272" s="54"/>
      <c r="Y272" s="54"/>
      <c r="Z272" s="16"/>
      <c r="AA272" s="19"/>
      <c r="AB272" s="54"/>
      <c r="AC272" s="12" t="str">
        <f t="shared" si="2"/>
        <v>B_SCM_A1</v>
      </c>
    </row>
    <row r="273" ht="18.0" customHeight="1">
      <c r="A273" s="11">
        <f t="shared" si="1"/>
        <v>270</v>
      </c>
      <c r="B273" s="11" t="s">
        <v>738</v>
      </c>
      <c r="C273" s="11" t="s">
        <v>739</v>
      </c>
      <c r="D273" s="11" t="s">
        <v>866</v>
      </c>
      <c r="E273" s="11" t="s">
        <v>866</v>
      </c>
      <c r="F273" s="11" t="s">
        <v>870</v>
      </c>
      <c r="G273" s="13" t="s">
        <v>871</v>
      </c>
      <c r="H273" s="11" t="s">
        <v>752</v>
      </c>
      <c r="I273" s="63">
        <v>46309.0</v>
      </c>
      <c r="J273" s="63">
        <v>46320.0</v>
      </c>
      <c r="K273" s="53"/>
      <c r="L273" s="53"/>
      <c r="M273" s="54"/>
      <c r="N273" s="54"/>
      <c r="O273" s="11" t="s">
        <v>76</v>
      </c>
      <c r="P273" s="11" t="s">
        <v>251</v>
      </c>
      <c r="Q273" s="54"/>
      <c r="R273" s="64"/>
      <c r="S273" s="54"/>
      <c r="T273" s="31" t="s">
        <v>872</v>
      </c>
      <c r="U273" s="54"/>
      <c r="V273" s="56"/>
      <c r="W273" s="54"/>
      <c r="X273" s="54"/>
      <c r="Y273" s="54"/>
      <c r="Z273" s="16"/>
      <c r="AA273" s="19"/>
      <c r="AB273" s="54"/>
      <c r="AC273" s="12" t="str">
        <f t="shared" si="2"/>
        <v>B_SCM_B1</v>
      </c>
    </row>
    <row r="274" ht="18.0" customHeight="1">
      <c r="A274" s="11">
        <f t="shared" si="1"/>
        <v>271</v>
      </c>
      <c r="B274" s="11" t="s">
        <v>738</v>
      </c>
      <c r="C274" s="11" t="s">
        <v>739</v>
      </c>
      <c r="D274" s="11" t="s">
        <v>866</v>
      </c>
      <c r="E274" s="11" t="s">
        <v>866</v>
      </c>
      <c r="F274" s="11" t="s">
        <v>873</v>
      </c>
      <c r="G274" s="13" t="s">
        <v>874</v>
      </c>
      <c r="H274" s="11" t="s">
        <v>752</v>
      </c>
      <c r="I274" s="63">
        <v>46337.0</v>
      </c>
      <c r="J274" s="63">
        <v>46341.0</v>
      </c>
      <c r="K274" s="53"/>
      <c r="L274" s="53"/>
      <c r="M274" s="54"/>
      <c r="N274" s="54"/>
      <c r="O274" s="11" t="s">
        <v>76</v>
      </c>
      <c r="P274" s="11" t="s">
        <v>251</v>
      </c>
      <c r="Q274" s="54"/>
      <c r="R274" s="64"/>
      <c r="S274" s="54"/>
      <c r="T274" s="31" t="s">
        <v>875</v>
      </c>
      <c r="U274" s="54"/>
      <c r="V274" s="56"/>
      <c r="W274" s="54"/>
      <c r="X274" s="54"/>
      <c r="Y274" s="54"/>
      <c r="Z274" s="16"/>
      <c r="AA274" s="19"/>
      <c r="AB274" s="54"/>
      <c r="AC274" s="12" t="str">
        <f t="shared" si="2"/>
        <v>B_SCM_C1</v>
      </c>
    </row>
    <row r="275" ht="18.0" customHeight="1">
      <c r="A275" s="11">
        <f t="shared" si="1"/>
        <v>272</v>
      </c>
      <c r="B275" s="11" t="s">
        <v>738</v>
      </c>
      <c r="C275" s="11" t="s">
        <v>739</v>
      </c>
      <c r="D275" s="11" t="s">
        <v>866</v>
      </c>
      <c r="E275" s="11" t="s">
        <v>866</v>
      </c>
      <c r="F275" s="11" t="s">
        <v>876</v>
      </c>
      <c r="G275" s="31" t="s">
        <v>877</v>
      </c>
      <c r="H275" s="11" t="s">
        <v>742</v>
      </c>
      <c r="I275" s="63">
        <v>46323.0</v>
      </c>
      <c r="J275" s="63">
        <v>46334.0</v>
      </c>
      <c r="K275" s="53"/>
      <c r="L275" s="53"/>
      <c r="M275" s="54"/>
      <c r="N275" s="54"/>
      <c r="O275" s="11" t="s">
        <v>76</v>
      </c>
      <c r="P275" s="11" t="s">
        <v>251</v>
      </c>
      <c r="Q275" s="54"/>
      <c r="R275" s="64"/>
      <c r="S275" s="54"/>
      <c r="T275" s="31" t="s">
        <v>878</v>
      </c>
      <c r="U275" s="54"/>
      <c r="V275" s="56"/>
      <c r="W275" s="54"/>
      <c r="X275" s="54"/>
      <c r="Y275" s="54"/>
      <c r="Z275" s="16"/>
      <c r="AA275" s="19"/>
      <c r="AB275" s="54"/>
      <c r="AC275" s="12" t="str">
        <f t="shared" si="2"/>
        <v>B_SCM_D1</v>
      </c>
    </row>
    <row r="276" ht="18.0" customHeight="1">
      <c r="A276" s="11">
        <f t="shared" si="1"/>
        <v>273</v>
      </c>
      <c r="B276" s="11" t="s">
        <v>738</v>
      </c>
      <c r="C276" s="11" t="s">
        <v>739</v>
      </c>
      <c r="D276" s="11" t="s">
        <v>866</v>
      </c>
      <c r="E276" s="11" t="s">
        <v>866</v>
      </c>
      <c r="F276" s="11" t="s">
        <v>879</v>
      </c>
      <c r="G276" s="31" t="s">
        <v>880</v>
      </c>
      <c r="H276" s="11" t="s">
        <v>742</v>
      </c>
      <c r="I276" s="63">
        <v>46309.0</v>
      </c>
      <c r="J276" s="63">
        <v>46320.0</v>
      </c>
      <c r="K276" s="53"/>
      <c r="L276" s="53"/>
      <c r="M276" s="54"/>
      <c r="N276" s="54"/>
      <c r="O276" s="11" t="s">
        <v>55</v>
      </c>
      <c r="P276" s="11" t="s">
        <v>251</v>
      </c>
      <c r="Q276" s="54"/>
      <c r="R276" s="64"/>
      <c r="S276" s="54"/>
      <c r="T276" s="31" t="s">
        <v>881</v>
      </c>
      <c r="U276" s="54"/>
      <c r="V276" s="56"/>
      <c r="W276" s="54"/>
      <c r="X276" s="54"/>
      <c r="Y276" s="54"/>
      <c r="Z276" s="16"/>
      <c r="AA276" s="19"/>
      <c r="AB276" s="54"/>
      <c r="AC276" s="12" t="str">
        <f t="shared" si="2"/>
        <v>B_SCM_E1</v>
      </c>
    </row>
    <row r="277" ht="18.0" customHeight="1">
      <c r="A277" s="11">
        <f t="shared" si="1"/>
        <v>274</v>
      </c>
      <c r="B277" s="11" t="s">
        <v>738</v>
      </c>
      <c r="C277" s="11" t="s">
        <v>882</v>
      </c>
      <c r="D277" s="11" t="s">
        <v>883</v>
      </c>
      <c r="E277" s="11" t="s">
        <v>883</v>
      </c>
      <c r="F277" s="11" t="s">
        <v>884</v>
      </c>
      <c r="G277" s="13" t="s">
        <v>885</v>
      </c>
      <c r="H277" s="54"/>
      <c r="I277" s="64"/>
      <c r="J277" s="64"/>
      <c r="K277" s="53"/>
      <c r="L277" s="53"/>
      <c r="M277" s="54"/>
      <c r="N277" s="54"/>
      <c r="O277" s="54"/>
      <c r="P277" s="11" t="s">
        <v>886</v>
      </c>
      <c r="Q277" s="54"/>
      <c r="R277" s="64"/>
      <c r="S277" s="54"/>
      <c r="T277" s="17"/>
      <c r="U277" s="54"/>
      <c r="V277" s="56"/>
      <c r="W277" s="54"/>
      <c r="X277" s="54"/>
      <c r="Y277" s="54"/>
      <c r="Z277" s="16"/>
      <c r="AA277" s="19"/>
      <c r="AB277" s="54"/>
      <c r="AC277" s="12" t="str">
        <f t="shared" si="2"/>
        <v>IF_SCM_R001</v>
      </c>
    </row>
    <row r="278" ht="18.0" customHeight="1">
      <c r="A278" s="11">
        <f t="shared" si="1"/>
        <v>275</v>
      </c>
      <c r="B278" s="11" t="s">
        <v>738</v>
      </c>
      <c r="C278" s="11" t="s">
        <v>882</v>
      </c>
      <c r="D278" s="11" t="s">
        <v>883</v>
      </c>
      <c r="E278" s="11" t="s">
        <v>883</v>
      </c>
      <c r="F278" s="11" t="s">
        <v>887</v>
      </c>
      <c r="G278" s="13" t="s">
        <v>888</v>
      </c>
      <c r="H278" s="54"/>
      <c r="I278" s="64"/>
      <c r="J278" s="64"/>
      <c r="K278" s="53"/>
      <c r="L278" s="53"/>
      <c r="M278" s="54"/>
      <c r="N278" s="54"/>
      <c r="O278" s="54"/>
      <c r="P278" s="11" t="s">
        <v>886</v>
      </c>
      <c r="Q278" s="54"/>
      <c r="R278" s="64"/>
      <c r="S278" s="54"/>
      <c r="T278" s="17"/>
      <c r="U278" s="54"/>
      <c r="V278" s="56"/>
      <c r="W278" s="54"/>
      <c r="X278" s="54"/>
      <c r="Y278" s="54"/>
      <c r="Z278" s="16"/>
      <c r="AA278" s="19"/>
      <c r="AB278" s="54"/>
      <c r="AC278" s="12" t="str">
        <f t="shared" si="2"/>
        <v>IF_SCM_R002</v>
      </c>
    </row>
    <row r="279" ht="18.0" customHeight="1">
      <c r="A279" s="11">
        <f t="shared" si="1"/>
        <v>276</v>
      </c>
      <c r="B279" s="11" t="s">
        <v>738</v>
      </c>
      <c r="C279" s="11" t="s">
        <v>882</v>
      </c>
      <c r="D279" s="11" t="s">
        <v>883</v>
      </c>
      <c r="E279" s="11" t="s">
        <v>883</v>
      </c>
      <c r="F279" s="11" t="s">
        <v>889</v>
      </c>
      <c r="G279" s="13" t="s">
        <v>890</v>
      </c>
      <c r="H279" s="54"/>
      <c r="I279" s="64"/>
      <c r="J279" s="64"/>
      <c r="K279" s="53"/>
      <c r="L279" s="53"/>
      <c r="M279" s="54"/>
      <c r="N279" s="54"/>
      <c r="O279" s="54"/>
      <c r="P279" s="11" t="s">
        <v>886</v>
      </c>
      <c r="Q279" s="54"/>
      <c r="R279" s="64"/>
      <c r="S279" s="54"/>
      <c r="T279" s="17"/>
      <c r="U279" s="54"/>
      <c r="V279" s="56"/>
      <c r="W279" s="54"/>
      <c r="X279" s="54"/>
      <c r="Y279" s="54"/>
      <c r="Z279" s="16"/>
      <c r="AA279" s="19"/>
      <c r="AB279" s="54"/>
      <c r="AC279" s="12" t="str">
        <f t="shared" si="2"/>
        <v>IF_SCM_R003</v>
      </c>
    </row>
    <row r="280" ht="18.0" customHeight="1">
      <c r="A280" s="11">
        <f t="shared" si="1"/>
        <v>277</v>
      </c>
      <c r="B280" s="11" t="s">
        <v>738</v>
      </c>
      <c r="C280" s="11" t="s">
        <v>882</v>
      </c>
      <c r="D280" s="11" t="s">
        <v>883</v>
      </c>
      <c r="E280" s="11" t="s">
        <v>883</v>
      </c>
      <c r="F280" s="11" t="s">
        <v>891</v>
      </c>
      <c r="G280" s="31" t="s">
        <v>892</v>
      </c>
      <c r="H280" s="54"/>
      <c r="I280" s="64"/>
      <c r="J280" s="64"/>
      <c r="K280" s="53"/>
      <c r="L280" s="53"/>
      <c r="M280" s="54"/>
      <c r="N280" s="54"/>
      <c r="O280" s="54"/>
      <c r="P280" s="11" t="s">
        <v>886</v>
      </c>
      <c r="Q280" s="54"/>
      <c r="R280" s="64"/>
      <c r="S280" s="54"/>
      <c r="T280" s="17"/>
      <c r="U280" s="54"/>
      <c r="V280" s="56"/>
      <c r="W280" s="54"/>
      <c r="X280" s="54"/>
      <c r="Y280" s="54"/>
      <c r="Z280" s="16"/>
      <c r="AA280" s="19"/>
      <c r="AB280" s="54"/>
      <c r="AC280" s="12" t="str">
        <f t="shared" si="2"/>
        <v>IF_SCM_R004</v>
      </c>
    </row>
    <row r="281" ht="18.0" customHeight="1">
      <c r="A281" s="11">
        <f t="shared" si="1"/>
        <v>278</v>
      </c>
      <c r="B281" s="11" t="s">
        <v>738</v>
      </c>
      <c r="C281" s="11" t="s">
        <v>882</v>
      </c>
      <c r="D281" s="11" t="s">
        <v>883</v>
      </c>
      <c r="E281" s="11" t="s">
        <v>883</v>
      </c>
      <c r="F281" s="11" t="s">
        <v>893</v>
      </c>
      <c r="G281" s="31" t="s">
        <v>894</v>
      </c>
      <c r="H281" s="54"/>
      <c r="I281" s="64"/>
      <c r="J281" s="64"/>
      <c r="K281" s="53"/>
      <c r="L281" s="53"/>
      <c r="M281" s="54"/>
      <c r="N281" s="54"/>
      <c r="O281" s="54"/>
      <c r="P281" s="11" t="s">
        <v>886</v>
      </c>
      <c r="Q281" s="54"/>
      <c r="R281" s="64"/>
      <c r="S281" s="54"/>
      <c r="T281" s="31" t="s">
        <v>895</v>
      </c>
      <c r="U281" s="54"/>
      <c r="V281" s="56"/>
      <c r="W281" s="54"/>
      <c r="X281" s="54"/>
      <c r="Y281" s="54"/>
      <c r="Z281" s="16"/>
      <c r="AA281" s="19"/>
      <c r="AB281" s="54"/>
      <c r="AC281" s="12" t="str">
        <f t="shared" si="2"/>
        <v>IF_SCM_R005</v>
      </c>
    </row>
    <row r="282" ht="18.0" customHeight="1">
      <c r="A282" s="11">
        <f t="shared" si="1"/>
        <v>279</v>
      </c>
      <c r="B282" s="11" t="s">
        <v>738</v>
      </c>
      <c r="C282" s="11" t="s">
        <v>882</v>
      </c>
      <c r="D282" s="11" t="s">
        <v>883</v>
      </c>
      <c r="E282" s="11" t="s">
        <v>883</v>
      </c>
      <c r="F282" s="11" t="s">
        <v>896</v>
      </c>
      <c r="G282" s="31" t="s">
        <v>897</v>
      </c>
      <c r="H282" s="54"/>
      <c r="I282" s="64"/>
      <c r="J282" s="64"/>
      <c r="K282" s="53"/>
      <c r="L282" s="53"/>
      <c r="M282" s="54"/>
      <c r="N282" s="54"/>
      <c r="O282" s="54"/>
      <c r="P282" s="11" t="s">
        <v>886</v>
      </c>
      <c r="Q282" s="54"/>
      <c r="R282" s="64"/>
      <c r="S282" s="54"/>
      <c r="T282" s="17"/>
      <c r="U282" s="54"/>
      <c r="V282" s="56"/>
      <c r="W282" s="54"/>
      <c r="X282" s="54"/>
      <c r="Y282" s="54"/>
      <c r="Z282" s="16"/>
      <c r="AA282" s="19"/>
      <c r="AB282" s="54"/>
      <c r="AC282" s="12" t="str">
        <f t="shared" si="2"/>
        <v>IF_SCM_R006</v>
      </c>
    </row>
    <row r="283" ht="18.0" customHeight="1">
      <c r="A283" s="11">
        <f t="shared" si="1"/>
        <v>280</v>
      </c>
      <c r="B283" s="11" t="s">
        <v>738</v>
      </c>
      <c r="C283" s="11" t="s">
        <v>882</v>
      </c>
      <c r="D283" s="11" t="s">
        <v>883</v>
      </c>
      <c r="E283" s="11" t="s">
        <v>883</v>
      </c>
      <c r="F283" s="11" t="s">
        <v>898</v>
      </c>
      <c r="G283" s="31" t="s">
        <v>899</v>
      </c>
      <c r="H283" s="54"/>
      <c r="I283" s="64"/>
      <c r="J283" s="64"/>
      <c r="K283" s="53"/>
      <c r="L283" s="53"/>
      <c r="M283" s="54"/>
      <c r="N283" s="54"/>
      <c r="O283" s="54"/>
      <c r="P283" s="11" t="s">
        <v>886</v>
      </c>
      <c r="Q283" s="54"/>
      <c r="R283" s="64"/>
      <c r="S283" s="54"/>
      <c r="T283" s="17"/>
      <c r="U283" s="54"/>
      <c r="V283" s="56"/>
      <c r="W283" s="54"/>
      <c r="X283" s="54"/>
      <c r="Y283" s="54"/>
      <c r="Z283" s="16"/>
      <c r="AA283" s="19"/>
      <c r="AB283" s="54"/>
      <c r="AC283" s="12" t="str">
        <f t="shared" si="2"/>
        <v>IF_SCM_R007</v>
      </c>
    </row>
    <row r="284" ht="18.0" customHeight="1">
      <c r="A284" s="11">
        <f t="shared" si="1"/>
        <v>281</v>
      </c>
      <c r="B284" s="11" t="s">
        <v>738</v>
      </c>
      <c r="C284" s="11" t="s">
        <v>882</v>
      </c>
      <c r="D284" s="11" t="s">
        <v>883</v>
      </c>
      <c r="E284" s="11" t="s">
        <v>883</v>
      </c>
      <c r="F284" s="11" t="s">
        <v>900</v>
      </c>
      <c r="G284" s="31" t="s">
        <v>901</v>
      </c>
      <c r="H284" s="54"/>
      <c r="I284" s="64"/>
      <c r="J284" s="64"/>
      <c r="K284" s="53"/>
      <c r="L284" s="53"/>
      <c r="M284" s="54"/>
      <c r="N284" s="54"/>
      <c r="O284" s="54"/>
      <c r="P284" s="11" t="s">
        <v>886</v>
      </c>
      <c r="Q284" s="54"/>
      <c r="R284" s="64"/>
      <c r="S284" s="54"/>
      <c r="T284" s="17"/>
      <c r="U284" s="54"/>
      <c r="V284" s="56"/>
      <c r="W284" s="54"/>
      <c r="X284" s="54"/>
      <c r="Y284" s="54"/>
      <c r="Z284" s="16"/>
      <c r="AA284" s="19"/>
      <c r="AB284" s="54"/>
      <c r="AC284" s="12" t="str">
        <f t="shared" si="2"/>
        <v>IF_SCM_S001</v>
      </c>
    </row>
    <row r="285" ht="18.0" customHeight="1">
      <c r="A285" s="11">
        <f t="shared" si="1"/>
        <v>282</v>
      </c>
      <c r="B285" s="11" t="s">
        <v>738</v>
      </c>
      <c r="C285" s="11" t="s">
        <v>882</v>
      </c>
      <c r="D285" s="11" t="s">
        <v>883</v>
      </c>
      <c r="E285" s="11" t="s">
        <v>883</v>
      </c>
      <c r="F285" s="11" t="s">
        <v>902</v>
      </c>
      <c r="G285" s="31" t="s">
        <v>903</v>
      </c>
      <c r="H285" s="54"/>
      <c r="I285" s="64"/>
      <c r="J285" s="64"/>
      <c r="K285" s="53"/>
      <c r="L285" s="53"/>
      <c r="M285" s="54"/>
      <c r="N285" s="54"/>
      <c r="O285" s="54"/>
      <c r="P285" s="11" t="s">
        <v>886</v>
      </c>
      <c r="Q285" s="54"/>
      <c r="R285" s="64"/>
      <c r="S285" s="54"/>
      <c r="T285" s="17"/>
      <c r="U285" s="54"/>
      <c r="V285" s="56"/>
      <c r="W285" s="54"/>
      <c r="X285" s="54"/>
      <c r="Y285" s="54"/>
      <c r="Z285" s="16"/>
      <c r="AA285" s="19"/>
      <c r="AB285" s="54"/>
      <c r="AC285" s="12" t="str">
        <f t="shared" si="2"/>
        <v>IF_SCM_S002</v>
      </c>
    </row>
    <row r="286" ht="18.0" customHeight="1">
      <c r="A286" s="11">
        <f t="shared" si="1"/>
        <v>283</v>
      </c>
      <c r="B286" s="11" t="s">
        <v>738</v>
      </c>
      <c r="C286" s="11" t="s">
        <v>882</v>
      </c>
      <c r="D286" s="11" t="s">
        <v>883</v>
      </c>
      <c r="E286" s="11" t="s">
        <v>883</v>
      </c>
      <c r="F286" s="11" t="s">
        <v>904</v>
      </c>
      <c r="G286" s="31" t="s">
        <v>905</v>
      </c>
      <c r="H286" s="54"/>
      <c r="I286" s="64"/>
      <c r="J286" s="64"/>
      <c r="K286" s="53"/>
      <c r="L286" s="53"/>
      <c r="M286" s="54"/>
      <c r="N286" s="54"/>
      <c r="O286" s="54"/>
      <c r="P286" s="11" t="s">
        <v>886</v>
      </c>
      <c r="Q286" s="54"/>
      <c r="R286" s="64"/>
      <c r="S286" s="54"/>
      <c r="T286" s="17"/>
      <c r="U286" s="54"/>
      <c r="V286" s="56"/>
      <c r="W286" s="54"/>
      <c r="X286" s="54"/>
      <c r="Y286" s="54"/>
      <c r="Z286" s="16"/>
      <c r="AA286" s="19"/>
      <c r="AB286" s="54"/>
      <c r="AC286" s="12" t="str">
        <f t="shared" si="2"/>
        <v>IF_SCM_S003</v>
      </c>
    </row>
    <row r="287" ht="18.0" customHeight="1">
      <c r="A287" s="11">
        <f t="shared" si="1"/>
        <v>284</v>
      </c>
      <c r="B287" s="11" t="s">
        <v>738</v>
      </c>
      <c r="C287" s="11" t="s">
        <v>882</v>
      </c>
      <c r="D287" s="11" t="s">
        <v>883</v>
      </c>
      <c r="E287" s="11" t="s">
        <v>883</v>
      </c>
      <c r="F287" s="11" t="s">
        <v>906</v>
      </c>
      <c r="G287" s="31" t="s">
        <v>907</v>
      </c>
      <c r="H287" s="54"/>
      <c r="I287" s="64"/>
      <c r="J287" s="64"/>
      <c r="K287" s="53"/>
      <c r="L287" s="53"/>
      <c r="M287" s="54"/>
      <c r="N287" s="54"/>
      <c r="O287" s="54"/>
      <c r="P287" s="11" t="s">
        <v>886</v>
      </c>
      <c r="Q287" s="54"/>
      <c r="R287" s="64"/>
      <c r="S287" s="54"/>
      <c r="T287" s="17"/>
      <c r="U287" s="54"/>
      <c r="V287" s="56"/>
      <c r="W287" s="54"/>
      <c r="X287" s="54"/>
      <c r="Y287" s="54"/>
      <c r="Z287" s="16"/>
      <c r="AA287" s="19"/>
      <c r="AB287" s="54"/>
      <c r="AC287" s="12" t="str">
        <f t="shared" si="2"/>
        <v>IF_SCM_S004</v>
      </c>
    </row>
    <row r="288" ht="18.0" customHeight="1">
      <c r="A288" s="11">
        <f t="shared" si="1"/>
        <v>285</v>
      </c>
      <c r="B288" s="11" t="s">
        <v>738</v>
      </c>
      <c r="C288" s="11" t="s">
        <v>882</v>
      </c>
      <c r="D288" s="11" t="s">
        <v>883</v>
      </c>
      <c r="E288" s="11" t="s">
        <v>883</v>
      </c>
      <c r="F288" s="11" t="s">
        <v>908</v>
      </c>
      <c r="G288" s="31" t="s">
        <v>909</v>
      </c>
      <c r="H288" s="54"/>
      <c r="I288" s="64"/>
      <c r="J288" s="64"/>
      <c r="K288" s="53"/>
      <c r="L288" s="53"/>
      <c r="M288" s="54"/>
      <c r="N288" s="54"/>
      <c r="O288" s="54"/>
      <c r="P288" s="11" t="s">
        <v>886</v>
      </c>
      <c r="Q288" s="54"/>
      <c r="R288" s="64"/>
      <c r="S288" s="54"/>
      <c r="T288" s="17"/>
      <c r="U288" s="54"/>
      <c r="V288" s="56"/>
      <c r="W288" s="54"/>
      <c r="X288" s="54"/>
      <c r="Y288" s="54"/>
      <c r="Z288" s="16"/>
      <c r="AA288" s="19"/>
      <c r="AB288" s="54"/>
      <c r="AC288" s="12" t="str">
        <f t="shared" si="2"/>
        <v>IF_SCM_S005</v>
      </c>
    </row>
    <row r="289" ht="18.0" customHeight="1">
      <c r="A289" s="11">
        <f t="shared" si="1"/>
        <v>286</v>
      </c>
      <c r="B289" s="11" t="s">
        <v>738</v>
      </c>
      <c r="C289" s="11" t="s">
        <v>882</v>
      </c>
      <c r="D289" s="11" t="s">
        <v>883</v>
      </c>
      <c r="E289" s="11" t="s">
        <v>883</v>
      </c>
      <c r="F289" s="11" t="s">
        <v>910</v>
      </c>
      <c r="G289" s="31" t="s">
        <v>911</v>
      </c>
      <c r="H289" s="54"/>
      <c r="I289" s="64"/>
      <c r="J289" s="64"/>
      <c r="K289" s="53"/>
      <c r="L289" s="53"/>
      <c r="M289" s="54"/>
      <c r="N289" s="54"/>
      <c r="O289" s="54"/>
      <c r="P289" s="11" t="s">
        <v>886</v>
      </c>
      <c r="Q289" s="54"/>
      <c r="R289" s="64"/>
      <c r="S289" s="54"/>
      <c r="T289" s="17"/>
      <c r="U289" s="54"/>
      <c r="V289" s="56"/>
      <c r="W289" s="54"/>
      <c r="X289" s="54"/>
      <c r="Y289" s="54"/>
      <c r="Z289" s="16"/>
      <c r="AA289" s="19"/>
      <c r="AB289" s="54"/>
      <c r="AC289" s="12" t="str">
        <f t="shared" si="2"/>
        <v>IF_SCM_S006</v>
      </c>
    </row>
    <row r="290" ht="18.0" customHeight="1">
      <c r="A290" s="11">
        <f t="shared" si="1"/>
        <v>287</v>
      </c>
      <c r="B290" s="11" t="s">
        <v>738</v>
      </c>
      <c r="C290" s="11" t="s">
        <v>882</v>
      </c>
      <c r="D290" s="11" t="s">
        <v>883</v>
      </c>
      <c r="E290" s="11" t="s">
        <v>883</v>
      </c>
      <c r="F290" s="11" t="s">
        <v>912</v>
      </c>
      <c r="G290" s="31" t="s">
        <v>913</v>
      </c>
      <c r="H290" s="54"/>
      <c r="I290" s="64"/>
      <c r="J290" s="64"/>
      <c r="K290" s="53"/>
      <c r="L290" s="53"/>
      <c r="M290" s="54"/>
      <c r="N290" s="54"/>
      <c r="O290" s="54"/>
      <c r="P290" s="11" t="s">
        <v>886</v>
      </c>
      <c r="Q290" s="54"/>
      <c r="R290" s="64"/>
      <c r="S290" s="54"/>
      <c r="T290" s="17"/>
      <c r="U290" s="54"/>
      <c r="V290" s="56"/>
      <c r="W290" s="54"/>
      <c r="X290" s="54"/>
      <c r="Y290" s="54"/>
      <c r="Z290" s="16"/>
      <c r="AA290" s="19"/>
      <c r="AB290" s="54"/>
      <c r="AC290" s="12" t="str">
        <f t="shared" si="2"/>
        <v>IF_SCM_S007</v>
      </c>
    </row>
    <row r="291" ht="18.0" customHeight="1">
      <c r="A291" s="11">
        <f t="shared" si="1"/>
        <v>288</v>
      </c>
      <c r="B291" s="11" t="s">
        <v>738</v>
      </c>
      <c r="C291" s="11" t="s">
        <v>882</v>
      </c>
      <c r="D291" s="11" t="s">
        <v>883</v>
      </c>
      <c r="E291" s="11" t="s">
        <v>883</v>
      </c>
      <c r="F291" s="11" t="s">
        <v>914</v>
      </c>
      <c r="G291" s="31" t="s">
        <v>915</v>
      </c>
      <c r="H291" s="54"/>
      <c r="I291" s="64"/>
      <c r="J291" s="64"/>
      <c r="K291" s="53"/>
      <c r="L291" s="53"/>
      <c r="M291" s="54"/>
      <c r="N291" s="54"/>
      <c r="O291" s="54"/>
      <c r="P291" s="11" t="s">
        <v>886</v>
      </c>
      <c r="Q291" s="54"/>
      <c r="R291" s="64"/>
      <c r="S291" s="54"/>
      <c r="T291" s="17"/>
      <c r="U291" s="54"/>
      <c r="V291" s="56"/>
      <c r="W291" s="54"/>
      <c r="X291" s="54"/>
      <c r="Y291" s="54"/>
      <c r="Z291" s="16"/>
      <c r="AA291" s="19"/>
      <c r="AB291" s="54"/>
      <c r="AC291" s="12" t="str">
        <f t="shared" si="2"/>
        <v>IF_SCM_S008</v>
      </c>
    </row>
    <row r="292" ht="18.0" customHeight="1">
      <c r="A292" s="11">
        <f t="shared" si="1"/>
        <v>289</v>
      </c>
      <c r="B292" s="11" t="s">
        <v>738</v>
      </c>
      <c r="C292" s="11" t="s">
        <v>882</v>
      </c>
      <c r="D292" s="11" t="s">
        <v>883</v>
      </c>
      <c r="E292" s="11" t="s">
        <v>883</v>
      </c>
      <c r="F292" s="11" t="s">
        <v>916</v>
      </c>
      <c r="G292" s="31" t="s">
        <v>917</v>
      </c>
      <c r="H292" s="54"/>
      <c r="I292" s="64"/>
      <c r="J292" s="64"/>
      <c r="K292" s="53"/>
      <c r="L292" s="53"/>
      <c r="M292" s="54"/>
      <c r="N292" s="54"/>
      <c r="O292" s="54"/>
      <c r="P292" s="11" t="s">
        <v>886</v>
      </c>
      <c r="Q292" s="54"/>
      <c r="R292" s="64"/>
      <c r="S292" s="54"/>
      <c r="T292" s="17"/>
      <c r="U292" s="54"/>
      <c r="V292" s="56"/>
      <c r="W292" s="54"/>
      <c r="X292" s="54"/>
      <c r="Y292" s="54"/>
      <c r="Z292" s="16"/>
      <c r="AA292" s="19"/>
      <c r="AB292" s="54"/>
      <c r="AC292" s="12" t="str">
        <f t="shared" si="2"/>
        <v>IF_SCM_S009</v>
      </c>
    </row>
    <row r="293" ht="18.0" customHeight="1">
      <c r="A293" s="11">
        <f t="shared" si="1"/>
        <v>290</v>
      </c>
      <c r="B293" s="11" t="s">
        <v>738</v>
      </c>
      <c r="C293" s="11" t="s">
        <v>882</v>
      </c>
      <c r="D293" s="11" t="s">
        <v>883</v>
      </c>
      <c r="E293" s="11" t="s">
        <v>883</v>
      </c>
      <c r="F293" s="11" t="s">
        <v>918</v>
      </c>
      <c r="G293" s="31" t="s">
        <v>919</v>
      </c>
      <c r="H293" s="54"/>
      <c r="I293" s="64"/>
      <c r="J293" s="64"/>
      <c r="K293" s="53"/>
      <c r="L293" s="53"/>
      <c r="M293" s="54"/>
      <c r="N293" s="54"/>
      <c r="O293" s="54"/>
      <c r="P293" s="11" t="s">
        <v>886</v>
      </c>
      <c r="Q293" s="54"/>
      <c r="R293" s="64"/>
      <c r="S293" s="54"/>
      <c r="T293" s="17"/>
      <c r="U293" s="54"/>
      <c r="V293" s="56"/>
      <c r="W293" s="54"/>
      <c r="X293" s="54"/>
      <c r="Y293" s="54"/>
      <c r="Z293" s="16"/>
      <c r="AA293" s="19"/>
      <c r="AB293" s="54"/>
      <c r="AC293" s="12" t="str">
        <f t="shared" si="2"/>
        <v>IF_SCM_S010</v>
      </c>
    </row>
    <row r="294" ht="18.0" customHeight="1">
      <c r="A294" s="11">
        <f t="shared" si="1"/>
        <v>291</v>
      </c>
      <c r="B294" s="11" t="s">
        <v>738</v>
      </c>
      <c r="C294" s="11" t="s">
        <v>882</v>
      </c>
      <c r="D294" s="11" t="s">
        <v>883</v>
      </c>
      <c r="E294" s="11" t="s">
        <v>883</v>
      </c>
      <c r="F294" s="11" t="s">
        <v>920</v>
      </c>
      <c r="G294" s="31" t="s">
        <v>921</v>
      </c>
      <c r="H294" s="54"/>
      <c r="I294" s="64"/>
      <c r="J294" s="64"/>
      <c r="K294" s="53"/>
      <c r="L294" s="53"/>
      <c r="M294" s="54"/>
      <c r="N294" s="54"/>
      <c r="O294" s="54"/>
      <c r="P294" s="11" t="s">
        <v>886</v>
      </c>
      <c r="Q294" s="54"/>
      <c r="R294" s="64"/>
      <c r="S294" s="54"/>
      <c r="T294" s="17"/>
      <c r="U294" s="54"/>
      <c r="V294" s="56"/>
      <c r="W294" s="54"/>
      <c r="X294" s="54"/>
      <c r="Y294" s="54"/>
      <c r="Z294" s="16"/>
      <c r="AA294" s="19"/>
      <c r="AB294" s="54"/>
      <c r="AC294" s="12" t="str">
        <f t="shared" si="2"/>
        <v>IF_SCM_S011</v>
      </c>
    </row>
    <row r="295" ht="18.0" customHeight="1">
      <c r="A295" s="11">
        <f t="shared" si="1"/>
        <v>292</v>
      </c>
      <c r="B295" s="11" t="s">
        <v>738</v>
      </c>
      <c r="C295" s="11" t="s">
        <v>882</v>
      </c>
      <c r="D295" s="11" t="s">
        <v>883</v>
      </c>
      <c r="E295" s="11" t="s">
        <v>883</v>
      </c>
      <c r="F295" s="11" t="s">
        <v>922</v>
      </c>
      <c r="G295" s="31" t="s">
        <v>923</v>
      </c>
      <c r="H295" s="54"/>
      <c r="I295" s="64"/>
      <c r="J295" s="64"/>
      <c r="K295" s="53"/>
      <c r="L295" s="53"/>
      <c r="M295" s="54"/>
      <c r="N295" s="54"/>
      <c r="O295" s="54"/>
      <c r="P295" s="11" t="s">
        <v>886</v>
      </c>
      <c r="Q295" s="54"/>
      <c r="R295" s="64"/>
      <c r="S295" s="54"/>
      <c r="T295" s="17"/>
      <c r="U295" s="54"/>
      <c r="V295" s="56"/>
      <c r="W295" s="54"/>
      <c r="X295" s="54"/>
      <c r="Y295" s="54"/>
      <c r="Z295" s="16"/>
      <c r="AA295" s="19"/>
      <c r="AB295" s="54"/>
      <c r="AC295" s="12" t="str">
        <f t="shared" si="2"/>
        <v>IF_SCM_S012</v>
      </c>
    </row>
    <row r="296" ht="18.0" customHeight="1">
      <c r="A296" s="11">
        <f t="shared" si="1"/>
        <v>293</v>
      </c>
      <c r="B296" s="11" t="s">
        <v>738</v>
      </c>
      <c r="C296" s="11" t="s">
        <v>882</v>
      </c>
      <c r="D296" s="11" t="s">
        <v>883</v>
      </c>
      <c r="E296" s="11" t="s">
        <v>883</v>
      </c>
      <c r="F296" s="11" t="s">
        <v>924</v>
      </c>
      <c r="G296" s="31" t="s">
        <v>925</v>
      </c>
      <c r="H296" s="54"/>
      <c r="I296" s="64"/>
      <c r="J296" s="64"/>
      <c r="K296" s="53"/>
      <c r="L296" s="53"/>
      <c r="M296" s="54"/>
      <c r="N296" s="54"/>
      <c r="O296" s="54"/>
      <c r="P296" s="11" t="s">
        <v>886</v>
      </c>
      <c r="Q296" s="54"/>
      <c r="R296" s="64"/>
      <c r="S296" s="54"/>
      <c r="T296" s="17"/>
      <c r="U296" s="54"/>
      <c r="V296" s="56"/>
      <c r="W296" s="54"/>
      <c r="X296" s="54"/>
      <c r="Y296" s="54"/>
      <c r="Z296" s="16"/>
      <c r="AA296" s="19"/>
      <c r="AB296" s="54"/>
      <c r="AC296" s="12" t="str">
        <f t="shared" si="2"/>
        <v>IF_SCM_S013</v>
      </c>
    </row>
    <row r="297" ht="18.0" customHeight="1">
      <c r="A297" s="11">
        <f t="shared" si="1"/>
        <v>294</v>
      </c>
      <c r="B297" s="11" t="s">
        <v>738</v>
      </c>
      <c r="C297" s="11" t="s">
        <v>882</v>
      </c>
      <c r="D297" s="11" t="s">
        <v>883</v>
      </c>
      <c r="E297" s="11" t="s">
        <v>883</v>
      </c>
      <c r="F297" s="11" t="s">
        <v>926</v>
      </c>
      <c r="G297" s="31" t="s">
        <v>927</v>
      </c>
      <c r="H297" s="54"/>
      <c r="I297" s="64"/>
      <c r="J297" s="64"/>
      <c r="K297" s="53"/>
      <c r="L297" s="53"/>
      <c r="M297" s="54"/>
      <c r="N297" s="54"/>
      <c r="O297" s="54"/>
      <c r="P297" s="11" t="s">
        <v>886</v>
      </c>
      <c r="Q297" s="54"/>
      <c r="R297" s="64"/>
      <c r="S297" s="54"/>
      <c r="T297" s="17"/>
      <c r="U297" s="54"/>
      <c r="V297" s="56"/>
      <c r="W297" s="54"/>
      <c r="X297" s="54"/>
      <c r="Y297" s="54"/>
      <c r="Z297" s="16"/>
      <c r="AA297" s="19"/>
      <c r="AB297" s="54"/>
      <c r="AC297" s="12" t="str">
        <f t="shared" si="2"/>
        <v>IF_SCM_S014</v>
      </c>
    </row>
    <row r="298" ht="18.0" customHeight="1">
      <c r="A298" s="11">
        <f t="shared" si="1"/>
        <v>295</v>
      </c>
      <c r="B298" s="11" t="s">
        <v>738</v>
      </c>
      <c r="C298" s="11" t="s">
        <v>882</v>
      </c>
      <c r="D298" s="11" t="s">
        <v>883</v>
      </c>
      <c r="E298" s="11" t="s">
        <v>883</v>
      </c>
      <c r="F298" s="11" t="s">
        <v>928</v>
      </c>
      <c r="G298" s="31" t="s">
        <v>929</v>
      </c>
      <c r="H298" s="54"/>
      <c r="I298" s="64"/>
      <c r="J298" s="64"/>
      <c r="K298" s="53"/>
      <c r="L298" s="53"/>
      <c r="M298" s="54"/>
      <c r="N298" s="54"/>
      <c r="O298" s="54"/>
      <c r="P298" s="11" t="s">
        <v>886</v>
      </c>
      <c r="Q298" s="54"/>
      <c r="R298" s="64"/>
      <c r="S298" s="54"/>
      <c r="T298" s="17"/>
      <c r="U298" s="54"/>
      <c r="V298" s="56"/>
      <c r="W298" s="54"/>
      <c r="X298" s="54"/>
      <c r="Y298" s="54"/>
      <c r="Z298" s="16"/>
      <c r="AA298" s="19"/>
      <c r="AB298" s="54"/>
      <c r="AC298" s="12" t="str">
        <f t="shared" si="2"/>
        <v>IF_SCM_S015</v>
      </c>
    </row>
    <row r="299" ht="18.0" customHeight="1">
      <c r="A299" s="11">
        <f t="shared" si="1"/>
        <v>296</v>
      </c>
      <c r="B299" s="11" t="s">
        <v>738</v>
      </c>
      <c r="C299" s="11" t="s">
        <v>882</v>
      </c>
      <c r="D299" s="11" t="s">
        <v>883</v>
      </c>
      <c r="E299" s="11" t="s">
        <v>883</v>
      </c>
      <c r="F299" s="11" t="s">
        <v>930</v>
      </c>
      <c r="G299" s="31" t="s">
        <v>931</v>
      </c>
      <c r="H299" s="54"/>
      <c r="I299" s="64"/>
      <c r="J299" s="64"/>
      <c r="K299" s="53"/>
      <c r="L299" s="53"/>
      <c r="M299" s="54"/>
      <c r="N299" s="54"/>
      <c r="O299" s="54"/>
      <c r="P299" s="11" t="s">
        <v>886</v>
      </c>
      <c r="Q299" s="54"/>
      <c r="R299" s="64"/>
      <c r="S299" s="54"/>
      <c r="T299" s="17"/>
      <c r="U299" s="54"/>
      <c r="V299" s="56"/>
      <c r="W299" s="54"/>
      <c r="X299" s="54"/>
      <c r="Y299" s="54"/>
      <c r="Z299" s="16"/>
      <c r="AA299" s="19"/>
      <c r="AB299" s="54"/>
      <c r="AC299" s="12" t="str">
        <f t="shared" si="2"/>
        <v>IF_SCM_S016</v>
      </c>
    </row>
    <row r="300" ht="18.0" customHeight="1">
      <c r="A300" s="11">
        <f t="shared" si="1"/>
        <v>297</v>
      </c>
      <c r="B300" s="11" t="s">
        <v>738</v>
      </c>
      <c r="C300" s="11" t="s">
        <v>882</v>
      </c>
      <c r="D300" s="11" t="s">
        <v>883</v>
      </c>
      <c r="E300" s="11" t="s">
        <v>883</v>
      </c>
      <c r="F300" s="11" t="s">
        <v>932</v>
      </c>
      <c r="G300" s="31" t="s">
        <v>933</v>
      </c>
      <c r="H300" s="54"/>
      <c r="I300" s="64"/>
      <c r="J300" s="64"/>
      <c r="K300" s="53"/>
      <c r="L300" s="53"/>
      <c r="M300" s="54"/>
      <c r="N300" s="54"/>
      <c r="O300" s="54"/>
      <c r="P300" s="11" t="s">
        <v>886</v>
      </c>
      <c r="Q300" s="54"/>
      <c r="R300" s="64"/>
      <c r="S300" s="54"/>
      <c r="T300" s="17"/>
      <c r="U300" s="54"/>
      <c r="V300" s="56"/>
      <c r="W300" s="54"/>
      <c r="X300" s="54"/>
      <c r="Y300" s="54"/>
      <c r="Z300" s="16"/>
      <c r="AA300" s="19"/>
      <c r="AB300" s="54"/>
      <c r="AC300" s="12" t="str">
        <f t="shared" si="2"/>
        <v>IF_SCM_S017</v>
      </c>
    </row>
    <row r="301" ht="18.0" customHeight="1">
      <c r="A301" s="11">
        <f t="shared" si="1"/>
        <v>298</v>
      </c>
      <c r="B301" s="11" t="s">
        <v>738</v>
      </c>
      <c r="C301" s="11" t="s">
        <v>882</v>
      </c>
      <c r="D301" s="11" t="s">
        <v>883</v>
      </c>
      <c r="E301" s="11" t="s">
        <v>883</v>
      </c>
      <c r="F301" s="11" t="s">
        <v>934</v>
      </c>
      <c r="G301" s="31" t="s">
        <v>935</v>
      </c>
      <c r="H301" s="54"/>
      <c r="I301" s="64"/>
      <c r="J301" s="64"/>
      <c r="K301" s="53"/>
      <c r="L301" s="53"/>
      <c r="M301" s="54"/>
      <c r="N301" s="54"/>
      <c r="O301" s="54"/>
      <c r="P301" s="11" t="s">
        <v>886</v>
      </c>
      <c r="Q301" s="54"/>
      <c r="R301" s="64"/>
      <c r="S301" s="54"/>
      <c r="T301" s="17"/>
      <c r="U301" s="54"/>
      <c r="V301" s="56"/>
      <c r="W301" s="54"/>
      <c r="X301" s="54"/>
      <c r="Y301" s="54"/>
      <c r="Z301" s="16"/>
      <c r="AA301" s="19"/>
      <c r="AB301" s="54"/>
      <c r="AC301" s="12" t="str">
        <f t="shared" si="2"/>
        <v>IF_SCM_S018</v>
      </c>
    </row>
    <row r="302" ht="18.0" customHeight="1">
      <c r="A302" s="11">
        <f t="shared" si="1"/>
        <v>299</v>
      </c>
      <c r="B302" s="11" t="s">
        <v>738</v>
      </c>
      <c r="C302" s="11" t="s">
        <v>882</v>
      </c>
      <c r="D302" s="11" t="s">
        <v>883</v>
      </c>
      <c r="E302" s="11" t="s">
        <v>883</v>
      </c>
      <c r="F302" s="11" t="s">
        <v>936</v>
      </c>
      <c r="G302" s="31" t="s">
        <v>937</v>
      </c>
      <c r="H302" s="54"/>
      <c r="I302" s="64"/>
      <c r="J302" s="64"/>
      <c r="K302" s="53"/>
      <c r="L302" s="53"/>
      <c r="M302" s="54"/>
      <c r="N302" s="54"/>
      <c r="O302" s="54"/>
      <c r="P302" s="11" t="s">
        <v>886</v>
      </c>
      <c r="Q302" s="54"/>
      <c r="R302" s="64"/>
      <c r="S302" s="54"/>
      <c r="T302" s="17"/>
      <c r="U302" s="54"/>
      <c r="V302" s="56"/>
      <c r="W302" s="54"/>
      <c r="X302" s="54"/>
      <c r="Y302" s="54"/>
      <c r="Z302" s="16"/>
      <c r="AA302" s="19"/>
      <c r="AB302" s="54"/>
      <c r="AC302" s="12" t="str">
        <f t="shared" si="2"/>
        <v>IF_SCM_S019</v>
      </c>
    </row>
    <row r="303" ht="18.0" customHeight="1">
      <c r="A303" s="11">
        <f t="shared" si="1"/>
        <v>300</v>
      </c>
      <c r="B303" s="11" t="s">
        <v>738</v>
      </c>
      <c r="C303" s="11" t="s">
        <v>882</v>
      </c>
      <c r="D303" s="11" t="s">
        <v>883</v>
      </c>
      <c r="E303" s="11" t="s">
        <v>883</v>
      </c>
      <c r="F303" s="11" t="s">
        <v>938</v>
      </c>
      <c r="G303" s="31" t="s">
        <v>939</v>
      </c>
      <c r="H303" s="54"/>
      <c r="I303" s="64"/>
      <c r="J303" s="64"/>
      <c r="K303" s="53"/>
      <c r="L303" s="53"/>
      <c r="M303" s="54"/>
      <c r="N303" s="54"/>
      <c r="O303" s="54"/>
      <c r="P303" s="11" t="s">
        <v>886</v>
      </c>
      <c r="Q303" s="54"/>
      <c r="R303" s="64"/>
      <c r="S303" s="54"/>
      <c r="T303" s="17"/>
      <c r="U303" s="54"/>
      <c r="V303" s="56"/>
      <c r="W303" s="54"/>
      <c r="X303" s="54"/>
      <c r="Y303" s="54"/>
      <c r="Z303" s="16"/>
      <c r="AA303" s="19"/>
      <c r="AB303" s="54"/>
      <c r="AC303" s="12" t="str">
        <f t="shared" si="2"/>
        <v>IF_SCM_S020</v>
      </c>
    </row>
    <row r="304" ht="18.0" customHeight="1">
      <c r="A304" s="11">
        <f t="shared" si="1"/>
        <v>301</v>
      </c>
      <c r="B304" s="11" t="s">
        <v>738</v>
      </c>
      <c r="C304" s="11" t="s">
        <v>882</v>
      </c>
      <c r="D304" s="11" t="s">
        <v>883</v>
      </c>
      <c r="E304" s="11" t="s">
        <v>883</v>
      </c>
      <c r="F304" s="11" t="s">
        <v>940</v>
      </c>
      <c r="G304" s="31" t="s">
        <v>941</v>
      </c>
      <c r="H304" s="54"/>
      <c r="I304" s="64"/>
      <c r="J304" s="64"/>
      <c r="K304" s="53"/>
      <c r="L304" s="53"/>
      <c r="M304" s="54"/>
      <c r="N304" s="54"/>
      <c r="O304" s="54"/>
      <c r="P304" s="11" t="s">
        <v>886</v>
      </c>
      <c r="Q304" s="54"/>
      <c r="R304" s="64"/>
      <c r="S304" s="54"/>
      <c r="T304" s="17"/>
      <c r="U304" s="54"/>
      <c r="V304" s="56"/>
      <c r="W304" s="54"/>
      <c r="X304" s="54"/>
      <c r="Y304" s="54"/>
      <c r="Z304" s="16"/>
      <c r="AA304" s="19"/>
      <c r="AB304" s="54"/>
      <c r="AC304" s="12" t="str">
        <f t="shared" si="2"/>
        <v>IF_SCM_S021</v>
      </c>
    </row>
    <row r="305" ht="18.0" customHeight="1">
      <c r="A305" s="11">
        <f t="shared" si="1"/>
        <v>302</v>
      </c>
      <c r="B305" s="11" t="s">
        <v>738</v>
      </c>
      <c r="C305" s="11" t="s">
        <v>882</v>
      </c>
      <c r="D305" s="11" t="s">
        <v>883</v>
      </c>
      <c r="E305" s="11" t="s">
        <v>883</v>
      </c>
      <c r="F305" s="11" t="s">
        <v>942</v>
      </c>
      <c r="G305" s="31" t="s">
        <v>943</v>
      </c>
      <c r="H305" s="54"/>
      <c r="I305" s="64"/>
      <c r="J305" s="64"/>
      <c r="K305" s="53"/>
      <c r="L305" s="53"/>
      <c r="M305" s="54"/>
      <c r="N305" s="54"/>
      <c r="O305" s="54"/>
      <c r="P305" s="11" t="s">
        <v>886</v>
      </c>
      <c r="Q305" s="54"/>
      <c r="R305" s="64"/>
      <c r="S305" s="54"/>
      <c r="T305" s="17"/>
      <c r="U305" s="54"/>
      <c r="V305" s="56"/>
      <c r="W305" s="54"/>
      <c r="X305" s="54"/>
      <c r="Y305" s="54"/>
      <c r="Z305" s="16"/>
      <c r="AA305" s="19"/>
      <c r="AB305" s="54"/>
      <c r="AC305" s="12" t="str">
        <f t="shared" si="2"/>
        <v>IF_SCM_S022</v>
      </c>
    </row>
    <row r="306" ht="18.0" customHeight="1">
      <c r="A306" s="11">
        <f t="shared" si="1"/>
        <v>303</v>
      </c>
      <c r="B306" s="11" t="s">
        <v>738</v>
      </c>
      <c r="C306" s="11" t="s">
        <v>882</v>
      </c>
      <c r="D306" s="11" t="s">
        <v>883</v>
      </c>
      <c r="E306" s="11" t="s">
        <v>883</v>
      </c>
      <c r="F306" s="11" t="s">
        <v>944</v>
      </c>
      <c r="G306" s="31" t="s">
        <v>945</v>
      </c>
      <c r="H306" s="54"/>
      <c r="I306" s="64"/>
      <c r="J306" s="64"/>
      <c r="K306" s="53"/>
      <c r="L306" s="53"/>
      <c r="M306" s="54"/>
      <c r="N306" s="54"/>
      <c r="O306" s="54"/>
      <c r="P306" s="11" t="s">
        <v>886</v>
      </c>
      <c r="Q306" s="54"/>
      <c r="R306" s="64"/>
      <c r="S306" s="54"/>
      <c r="T306" s="17"/>
      <c r="U306" s="54"/>
      <c r="V306" s="56"/>
      <c r="W306" s="54"/>
      <c r="X306" s="54"/>
      <c r="Y306" s="54"/>
      <c r="Z306" s="16"/>
      <c r="AA306" s="19"/>
      <c r="AB306" s="54"/>
      <c r="AC306" s="12" t="str">
        <f t="shared" si="2"/>
        <v>IF_SCM_S023</v>
      </c>
    </row>
    <row r="307" ht="18.0" customHeight="1">
      <c r="A307" s="11">
        <f t="shared" si="1"/>
        <v>304</v>
      </c>
      <c r="B307" s="11" t="s">
        <v>738</v>
      </c>
      <c r="C307" s="11" t="s">
        <v>882</v>
      </c>
      <c r="D307" s="11" t="s">
        <v>883</v>
      </c>
      <c r="E307" s="11" t="s">
        <v>883</v>
      </c>
      <c r="F307" s="11" t="s">
        <v>946</v>
      </c>
      <c r="G307" s="31" t="s">
        <v>947</v>
      </c>
      <c r="H307" s="54"/>
      <c r="I307" s="64"/>
      <c r="J307" s="64"/>
      <c r="K307" s="53"/>
      <c r="L307" s="53"/>
      <c r="M307" s="54"/>
      <c r="N307" s="54"/>
      <c r="O307" s="54"/>
      <c r="P307" s="11" t="s">
        <v>886</v>
      </c>
      <c r="Q307" s="54"/>
      <c r="R307" s="64"/>
      <c r="S307" s="54"/>
      <c r="T307" s="17"/>
      <c r="U307" s="54"/>
      <c r="V307" s="56"/>
      <c r="W307" s="54"/>
      <c r="X307" s="54"/>
      <c r="Y307" s="54"/>
      <c r="Z307" s="16"/>
      <c r="AA307" s="19"/>
      <c r="AB307" s="54"/>
      <c r="AC307" s="12" t="str">
        <f t="shared" si="2"/>
        <v>IF_SCM_S024</v>
      </c>
    </row>
    <row r="308" ht="18.0" customHeight="1">
      <c r="A308" s="11">
        <f t="shared" si="1"/>
        <v>305</v>
      </c>
      <c r="B308" s="11" t="s">
        <v>738</v>
      </c>
      <c r="C308" s="11" t="s">
        <v>882</v>
      </c>
      <c r="D308" s="11" t="s">
        <v>883</v>
      </c>
      <c r="E308" s="11" t="s">
        <v>883</v>
      </c>
      <c r="F308" s="11" t="s">
        <v>948</v>
      </c>
      <c r="G308" s="31" t="s">
        <v>949</v>
      </c>
      <c r="H308" s="54"/>
      <c r="I308" s="64"/>
      <c r="J308" s="64"/>
      <c r="K308" s="53"/>
      <c r="L308" s="53"/>
      <c r="M308" s="54"/>
      <c r="N308" s="54"/>
      <c r="O308" s="54"/>
      <c r="P308" s="11" t="s">
        <v>886</v>
      </c>
      <c r="Q308" s="54"/>
      <c r="R308" s="64"/>
      <c r="S308" s="54"/>
      <c r="T308" s="17"/>
      <c r="U308" s="54"/>
      <c r="V308" s="56"/>
      <c r="W308" s="54"/>
      <c r="X308" s="54"/>
      <c r="Y308" s="54"/>
      <c r="Z308" s="16"/>
      <c r="AA308" s="19"/>
      <c r="AB308" s="54"/>
      <c r="AC308" s="12" t="str">
        <f t="shared" si="2"/>
        <v>IF_SCM_S025</v>
      </c>
    </row>
    <row r="309" ht="18.0" customHeight="1">
      <c r="A309" s="11">
        <f t="shared" si="1"/>
        <v>306</v>
      </c>
      <c r="B309" s="11" t="s">
        <v>738</v>
      </c>
      <c r="C309" s="11" t="s">
        <v>882</v>
      </c>
      <c r="D309" s="11" t="s">
        <v>883</v>
      </c>
      <c r="E309" s="11" t="s">
        <v>883</v>
      </c>
      <c r="F309" s="11" t="s">
        <v>950</v>
      </c>
      <c r="G309" s="31" t="s">
        <v>951</v>
      </c>
      <c r="H309" s="54"/>
      <c r="I309" s="64"/>
      <c r="J309" s="64"/>
      <c r="K309" s="53"/>
      <c r="L309" s="53"/>
      <c r="M309" s="54"/>
      <c r="N309" s="54"/>
      <c r="O309" s="54"/>
      <c r="P309" s="11" t="s">
        <v>886</v>
      </c>
      <c r="Q309" s="54"/>
      <c r="R309" s="64"/>
      <c r="S309" s="54"/>
      <c r="T309" s="17"/>
      <c r="U309" s="54"/>
      <c r="V309" s="56"/>
      <c r="W309" s="54"/>
      <c r="X309" s="54"/>
      <c r="Y309" s="54"/>
      <c r="Z309" s="16"/>
      <c r="AA309" s="19"/>
      <c r="AB309" s="54"/>
      <c r="AC309" s="12" t="str">
        <f t="shared" si="2"/>
        <v>IF_SCM_S026</v>
      </c>
    </row>
    <row r="310" ht="18.0" customHeight="1">
      <c r="A310" s="11">
        <f t="shared" si="1"/>
        <v>307</v>
      </c>
      <c r="B310" s="11" t="s">
        <v>738</v>
      </c>
      <c r="C310" s="11" t="s">
        <v>882</v>
      </c>
      <c r="D310" s="11" t="s">
        <v>883</v>
      </c>
      <c r="E310" s="11" t="s">
        <v>883</v>
      </c>
      <c r="F310" s="11" t="s">
        <v>952</v>
      </c>
      <c r="G310" s="31" t="s">
        <v>953</v>
      </c>
      <c r="H310" s="54"/>
      <c r="I310" s="64"/>
      <c r="J310" s="64"/>
      <c r="K310" s="53"/>
      <c r="L310" s="53"/>
      <c r="M310" s="54"/>
      <c r="N310" s="54"/>
      <c r="O310" s="54"/>
      <c r="P310" s="11" t="s">
        <v>886</v>
      </c>
      <c r="Q310" s="54"/>
      <c r="R310" s="64"/>
      <c r="S310" s="54"/>
      <c r="T310" s="17"/>
      <c r="U310" s="54"/>
      <c r="V310" s="56"/>
      <c r="W310" s="54"/>
      <c r="X310" s="54"/>
      <c r="Y310" s="54"/>
      <c r="Z310" s="16"/>
      <c r="AA310" s="19"/>
      <c r="AB310" s="54"/>
      <c r="AC310" s="12" t="str">
        <f t="shared" si="2"/>
        <v>IF_SCM_S027</v>
      </c>
    </row>
    <row r="311" ht="18.0" customHeight="1">
      <c r="A311" s="11">
        <f t="shared" si="1"/>
        <v>308</v>
      </c>
      <c r="B311" s="11" t="s">
        <v>738</v>
      </c>
      <c r="C311" s="11" t="s">
        <v>882</v>
      </c>
      <c r="D311" s="11" t="s">
        <v>883</v>
      </c>
      <c r="E311" s="11" t="s">
        <v>883</v>
      </c>
      <c r="F311" s="11" t="s">
        <v>954</v>
      </c>
      <c r="G311" s="31" t="s">
        <v>955</v>
      </c>
      <c r="H311" s="54"/>
      <c r="I311" s="64"/>
      <c r="J311" s="64"/>
      <c r="K311" s="53"/>
      <c r="L311" s="53"/>
      <c r="M311" s="54"/>
      <c r="N311" s="54"/>
      <c r="O311" s="54"/>
      <c r="P311" s="11" t="s">
        <v>886</v>
      </c>
      <c r="Q311" s="54"/>
      <c r="R311" s="64"/>
      <c r="S311" s="54"/>
      <c r="T311" s="17"/>
      <c r="U311" s="54"/>
      <c r="V311" s="56"/>
      <c r="W311" s="54"/>
      <c r="X311" s="54"/>
      <c r="Y311" s="54"/>
      <c r="Z311" s="16"/>
      <c r="AA311" s="19"/>
      <c r="AB311" s="54"/>
      <c r="AC311" s="12" t="str">
        <f t="shared" si="2"/>
        <v>IF_SCM_S028</v>
      </c>
    </row>
    <row r="312" ht="18.0" customHeight="1">
      <c r="A312" s="11">
        <f t="shared" si="1"/>
        <v>309</v>
      </c>
      <c r="B312" s="11" t="s">
        <v>738</v>
      </c>
      <c r="C312" s="11" t="s">
        <v>882</v>
      </c>
      <c r="D312" s="11" t="s">
        <v>883</v>
      </c>
      <c r="E312" s="11" t="s">
        <v>883</v>
      </c>
      <c r="F312" s="11" t="s">
        <v>956</v>
      </c>
      <c r="G312" s="31" t="s">
        <v>957</v>
      </c>
      <c r="H312" s="54"/>
      <c r="I312" s="64"/>
      <c r="J312" s="64"/>
      <c r="K312" s="53"/>
      <c r="L312" s="53"/>
      <c r="M312" s="54"/>
      <c r="N312" s="54"/>
      <c r="O312" s="54"/>
      <c r="P312" s="11" t="s">
        <v>886</v>
      </c>
      <c r="Q312" s="54"/>
      <c r="R312" s="64"/>
      <c r="S312" s="54"/>
      <c r="T312" s="17"/>
      <c r="U312" s="54"/>
      <c r="V312" s="56"/>
      <c r="W312" s="54"/>
      <c r="X312" s="54"/>
      <c r="Y312" s="54"/>
      <c r="Z312" s="16"/>
      <c r="AA312" s="19"/>
      <c r="AB312" s="54"/>
      <c r="AC312" s="12" t="str">
        <f t="shared" si="2"/>
        <v>IF_SCM_S029</v>
      </c>
    </row>
    <row r="313" ht="18.0" customHeight="1">
      <c r="A313" s="11">
        <f t="shared" si="1"/>
        <v>310</v>
      </c>
      <c r="B313" s="11" t="s">
        <v>738</v>
      </c>
      <c r="C313" s="11" t="s">
        <v>882</v>
      </c>
      <c r="D313" s="11" t="s">
        <v>883</v>
      </c>
      <c r="E313" s="11" t="s">
        <v>883</v>
      </c>
      <c r="F313" s="11" t="s">
        <v>958</v>
      </c>
      <c r="G313" s="31" t="s">
        <v>959</v>
      </c>
      <c r="H313" s="54"/>
      <c r="I313" s="64"/>
      <c r="J313" s="64"/>
      <c r="K313" s="53"/>
      <c r="L313" s="53"/>
      <c r="M313" s="54"/>
      <c r="N313" s="54"/>
      <c r="O313" s="54"/>
      <c r="P313" s="11" t="s">
        <v>886</v>
      </c>
      <c r="Q313" s="54"/>
      <c r="R313" s="64"/>
      <c r="S313" s="54"/>
      <c r="T313" s="17"/>
      <c r="U313" s="54"/>
      <c r="V313" s="56"/>
      <c r="W313" s="54"/>
      <c r="X313" s="54"/>
      <c r="Y313" s="54"/>
      <c r="Z313" s="16"/>
      <c r="AA313" s="19"/>
      <c r="AB313" s="54"/>
      <c r="AC313" s="12" t="str">
        <f t="shared" si="2"/>
        <v>IF_SCM_S030</v>
      </c>
    </row>
    <row r="314" ht="18.0" customHeight="1">
      <c r="A314" s="11">
        <f t="shared" si="1"/>
        <v>311</v>
      </c>
      <c r="B314" s="11" t="s">
        <v>738</v>
      </c>
      <c r="C314" s="11" t="s">
        <v>882</v>
      </c>
      <c r="D314" s="11" t="s">
        <v>883</v>
      </c>
      <c r="E314" s="11" t="s">
        <v>883</v>
      </c>
      <c r="F314" s="11" t="s">
        <v>960</v>
      </c>
      <c r="G314" s="31" t="s">
        <v>961</v>
      </c>
      <c r="H314" s="54"/>
      <c r="I314" s="64"/>
      <c r="J314" s="64"/>
      <c r="K314" s="53"/>
      <c r="L314" s="53"/>
      <c r="M314" s="54"/>
      <c r="N314" s="54"/>
      <c r="O314" s="54"/>
      <c r="P314" s="11" t="s">
        <v>886</v>
      </c>
      <c r="Q314" s="54"/>
      <c r="R314" s="64"/>
      <c r="S314" s="54"/>
      <c r="T314" s="17"/>
      <c r="U314" s="54"/>
      <c r="V314" s="56"/>
      <c r="W314" s="54"/>
      <c r="X314" s="54"/>
      <c r="Y314" s="54"/>
      <c r="Z314" s="16"/>
      <c r="AA314" s="19"/>
      <c r="AB314" s="54"/>
      <c r="AC314" s="12" t="str">
        <f t="shared" si="2"/>
        <v>IF_SCM_S031</v>
      </c>
    </row>
    <row r="315" ht="18.0" customHeight="1">
      <c r="A315" s="11">
        <f t="shared" si="1"/>
        <v>312</v>
      </c>
      <c r="B315" s="11" t="s">
        <v>738</v>
      </c>
      <c r="C315" s="11" t="s">
        <v>882</v>
      </c>
      <c r="D315" s="11" t="s">
        <v>883</v>
      </c>
      <c r="E315" s="11" t="s">
        <v>883</v>
      </c>
      <c r="F315" s="11" t="s">
        <v>962</v>
      </c>
      <c r="G315" s="31" t="s">
        <v>963</v>
      </c>
      <c r="H315" s="54"/>
      <c r="I315" s="64"/>
      <c r="J315" s="64"/>
      <c r="K315" s="53"/>
      <c r="L315" s="53"/>
      <c r="M315" s="54"/>
      <c r="N315" s="54"/>
      <c r="O315" s="54"/>
      <c r="P315" s="11" t="s">
        <v>886</v>
      </c>
      <c r="Q315" s="54"/>
      <c r="R315" s="64"/>
      <c r="S315" s="54"/>
      <c r="T315" s="17"/>
      <c r="U315" s="54"/>
      <c r="V315" s="56"/>
      <c r="W315" s="54"/>
      <c r="X315" s="54"/>
      <c r="Y315" s="54"/>
      <c r="Z315" s="16"/>
      <c r="AA315" s="19"/>
      <c r="AB315" s="54"/>
      <c r="AC315" s="12" t="str">
        <f t="shared" si="2"/>
        <v>IF_SCM_S032</v>
      </c>
    </row>
    <row r="316" ht="18.0" customHeight="1">
      <c r="A316" s="11">
        <f t="shared" si="1"/>
        <v>313</v>
      </c>
      <c r="B316" s="11" t="s">
        <v>738</v>
      </c>
      <c r="C316" s="11" t="s">
        <v>882</v>
      </c>
      <c r="D316" s="11" t="s">
        <v>883</v>
      </c>
      <c r="E316" s="11" t="s">
        <v>883</v>
      </c>
      <c r="F316" s="11" t="s">
        <v>964</v>
      </c>
      <c r="G316" s="31" t="s">
        <v>965</v>
      </c>
      <c r="H316" s="54"/>
      <c r="I316" s="64"/>
      <c r="J316" s="64"/>
      <c r="K316" s="53"/>
      <c r="L316" s="53"/>
      <c r="M316" s="54"/>
      <c r="N316" s="54"/>
      <c r="O316" s="54"/>
      <c r="P316" s="11" t="s">
        <v>886</v>
      </c>
      <c r="Q316" s="54"/>
      <c r="R316" s="64"/>
      <c r="S316" s="54"/>
      <c r="T316" s="17"/>
      <c r="U316" s="54"/>
      <c r="V316" s="56"/>
      <c r="W316" s="54"/>
      <c r="X316" s="54"/>
      <c r="Y316" s="54"/>
      <c r="Z316" s="16"/>
      <c r="AA316" s="19"/>
      <c r="AB316" s="54"/>
      <c r="AC316" s="12" t="str">
        <f t="shared" si="2"/>
        <v>IF_SCM_S033</v>
      </c>
    </row>
    <row r="317" ht="18.0" customHeight="1">
      <c r="A317" s="11">
        <f t="shared" si="1"/>
        <v>314</v>
      </c>
      <c r="B317" s="11" t="s">
        <v>738</v>
      </c>
      <c r="C317" s="11" t="s">
        <v>882</v>
      </c>
      <c r="D317" s="11" t="s">
        <v>883</v>
      </c>
      <c r="E317" s="11" t="s">
        <v>883</v>
      </c>
      <c r="F317" s="11" t="s">
        <v>966</v>
      </c>
      <c r="G317" s="31" t="s">
        <v>967</v>
      </c>
      <c r="H317" s="54"/>
      <c r="I317" s="64"/>
      <c r="J317" s="64"/>
      <c r="K317" s="53"/>
      <c r="L317" s="53"/>
      <c r="M317" s="54"/>
      <c r="N317" s="54"/>
      <c r="O317" s="54"/>
      <c r="P317" s="11" t="s">
        <v>886</v>
      </c>
      <c r="Q317" s="54"/>
      <c r="R317" s="64"/>
      <c r="S317" s="54"/>
      <c r="T317" s="17"/>
      <c r="U317" s="54"/>
      <c r="V317" s="56"/>
      <c r="W317" s="54"/>
      <c r="X317" s="54"/>
      <c r="Y317" s="54"/>
      <c r="Z317" s="16"/>
      <c r="AA317" s="19"/>
      <c r="AB317" s="54"/>
      <c r="AC317" s="12" t="str">
        <f t="shared" si="2"/>
        <v>IF_SCM_S034</v>
      </c>
    </row>
    <row r="318" ht="18.0" customHeight="1">
      <c r="A318" s="11">
        <f t="shared" si="1"/>
        <v>315</v>
      </c>
      <c r="B318" s="11" t="s">
        <v>738</v>
      </c>
      <c r="C318" s="11" t="s">
        <v>882</v>
      </c>
      <c r="D318" s="11" t="s">
        <v>883</v>
      </c>
      <c r="E318" s="11" t="s">
        <v>883</v>
      </c>
      <c r="F318" s="11" t="s">
        <v>968</v>
      </c>
      <c r="G318" s="31" t="s">
        <v>969</v>
      </c>
      <c r="H318" s="54"/>
      <c r="I318" s="64"/>
      <c r="J318" s="64"/>
      <c r="K318" s="53"/>
      <c r="L318" s="53"/>
      <c r="M318" s="54"/>
      <c r="N318" s="54"/>
      <c r="O318" s="54"/>
      <c r="P318" s="11" t="s">
        <v>886</v>
      </c>
      <c r="Q318" s="54"/>
      <c r="R318" s="64"/>
      <c r="S318" s="54"/>
      <c r="T318" s="17"/>
      <c r="U318" s="54"/>
      <c r="V318" s="56"/>
      <c r="W318" s="54"/>
      <c r="X318" s="54"/>
      <c r="Y318" s="54"/>
      <c r="Z318" s="16"/>
      <c r="AA318" s="19"/>
      <c r="AB318" s="54"/>
      <c r="AC318" s="12" t="str">
        <f t="shared" si="2"/>
        <v>IF_SCM_S035</v>
      </c>
    </row>
    <row r="319" ht="18.0" customHeight="1">
      <c r="A319" s="11">
        <f t="shared" si="1"/>
        <v>316</v>
      </c>
      <c r="B319" s="11" t="s">
        <v>738</v>
      </c>
      <c r="C319" s="11" t="s">
        <v>882</v>
      </c>
      <c r="D319" s="11" t="s">
        <v>883</v>
      </c>
      <c r="E319" s="11" t="s">
        <v>883</v>
      </c>
      <c r="F319" s="11" t="s">
        <v>970</v>
      </c>
      <c r="G319" s="31" t="s">
        <v>971</v>
      </c>
      <c r="H319" s="54"/>
      <c r="I319" s="64"/>
      <c r="J319" s="64"/>
      <c r="K319" s="53"/>
      <c r="L319" s="53"/>
      <c r="M319" s="54"/>
      <c r="N319" s="54"/>
      <c r="O319" s="54"/>
      <c r="P319" s="11" t="s">
        <v>886</v>
      </c>
      <c r="Q319" s="54"/>
      <c r="R319" s="64"/>
      <c r="S319" s="54"/>
      <c r="T319" s="17"/>
      <c r="U319" s="54"/>
      <c r="V319" s="56"/>
      <c r="W319" s="54"/>
      <c r="X319" s="54"/>
      <c r="Y319" s="54"/>
      <c r="Z319" s="16"/>
      <c r="AA319" s="19"/>
      <c r="AB319" s="54"/>
      <c r="AC319" s="12" t="str">
        <f t="shared" si="2"/>
        <v>IF_SCM_S036</v>
      </c>
    </row>
    <row r="320" ht="18.0" customHeight="1">
      <c r="A320" s="11">
        <f t="shared" si="1"/>
        <v>317</v>
      </c>
      <c r="B320" s="11" t="s">
        <v>738</v>
      </c>
      <c r="C320" s="11" t="s">
        <v>882</v>
      </c>
      <c r="D320" s="11" t="s">
        <v>883</v>
      </c>
      <c r="E320" s="11" t="s">
        <v>883</v>
      </c>
      <c r="F320" s="11" t="s">
        <v>972</v>
      </c>
      <c r="G320" s="31" t="s">
        <v>973</v>
      </c>
      <c r="H320" s="54"/>
      <c r="I320" s="64"/>
      <c r="J320" s="64"/>
      <c r="K320" s="53"/>
      <c r="L320" s="53"/>
      <c r="M320" s="54"/>
      <c r="N320" s="54"/>
      <c r="O320" s="54"/>
      <c r="P320" s="11" t="s">
        <v>886</v>
      </c>
      <c r="Q320" s="54"/>
      <c r="R320" s="64"/>
      <c r="S320" s="54"/>
      <c r="T320" s="17"/>
      <c r="U320" s="54"/>
      <c r="V320" s="56"/>
      <c r="W320" s="54"/>
      <c r="X320" s="54"/>
      <c r="Y320" s="54"/>
      <c r="Z320" s="16"/>
      <c r="AA320" s="19"/>
      <c r="AB320" s="54"/>
      <c r="AC320" s="12" t="str">
        <f t="shared" si="2"/>
        <v>IF_SCM_S037</v>
      </c>
    </row>
    <row r="321" ht="18.0" customHeight="1">
      <c r="A321" s="11">
        <f t="shared" si="1"/>
        <v>318</v>
      </c>
      <c r="B321" s="11" t="s">
        <v>738</v>
      </c>
      <c r="C321" s="11" t="s">
        <v>882</v>
      </c>
      <c r="D321" s="11" t="s">
        <v>883</v>
      </c>
      <c r="E321" s="11" t="s">
        <v>883</v>
      </c>
      <c r="F321" s="11" t="s">
        <v>974</v>
      </c>
      <c r="G321" s="31" t="s">
        <v>975</v>
      </c>
      <c r="H321" s="54"/>
      <c r="I321" s="64"/>
      <c r="J321" s="64"/>
      <c r="K321" s="53"/>
      <c r="L321" s="53"/>
      <c r="M321" s="54"/>
      <c r="N321" s="54"/>
      <c r="O321" s="54"/>
      <c r="P321" s="11" t="s">
        <v>886</v>
      </c>
      <c r="Q321" s="54"/>
      <c r="R321" s="64"/>
      <c r="S321" s="54"/>
      <c r="T321" s="17"/>
      <c r="U321" s="54"/>
      <c r="V321" s="56"/>
      <c r="W321" s="54"/>
      <c r="X321" s="54"/>
      <c r="Y321" s="54"/>
      <c r="Z321" s="16"/>
      <c r="AA321" s="19"/>
      <c r="AB321" s="54"/>
      <c r="AC321" s="12" t="str">
        <f t="shared" si="2"/>
        <v>IF_SCM_S038</v>
      </c>
    </row>
    <row r="322" ht="18.0" customHeight="1">
      <c r="A322" s="11">
        <f t="shared" si="1"/>
        <v>319</v>
      </c>
      <c r="B322" s="11" t="s">
        <v>738</v>
      </c>
      <c r="C322" s="11" t="s">
        <v>882</v>
      </c>
      <c r="D322" s="11" t="s">
        <v>883</v>
      </c>
      <c r="E322" s="11" t="s">
        <v>883</v>
      </c>
      <c r="F322" s="11" t="s">
        <v>976</v>
      </c>
      <c r="G322" s="31" t="s">
        <v>977</v>
      </c>
      <c r="H322" s="54"/>
      <c r="I322" s="64"/>
      <c r="J322" s="64"/>
      <c r="K322" s="53"/>
      <c r="L322" s="53"/>
      <c r="M322" s="54"/>
      <c r="N322" s="54"/>
      <c r="O322" s="54"/>
      <c r="P322" s="11" t="s">
        <v>886</v>
      </c>
      <c r="Q322" s="54"/>
      <c r="R322" s="64"/>
      <c r="S322" s="54"/>
      <c r="T322" s="17"/>
      <c r="U322" s="54"/>
      <c r="V322" s="56"/>
      <c r="W322" s="54"/>
      <c r="X322" s="54"/>
      <c r="Y322" s="54"/>
      <c r="Z322" s="16"/>
      <c r="AA322" s="19"/>
      <c r="AB322" s="54"/>
      <c r="AC322" s="12" t="str">
        <f t="shared" si="2"/>
        <v>IF_SCM_S039</v>
      </c>
    </row>
    <row r="323" ht="18.0" customHeight="1">
      <c r="A323" s="11">
        <f t="shared" si="1"/>
        <v>320</v>
      </c>
      <c r="B323" s="11" t="s">
        <v>738</v>
      </c>
      <c r="C323" s="11" t="s">
        <v>882</v>
      </c>
      <c r="D323" s="11" t="s">
        <v>883</v>
      </c>
      <c r="E323" s="11" t="s">
        <v>883</v>
      </c>
      <c r="F323" s="11" t="s">
        <v>978</v>
      </c>
      <c r="G323" s="31" t="s">
        <v>979</v>
      </c>
      <c r="H323" s="54"/>
      <c r="I323" s="64"/>
      <c r="J323" s="64"/>
      <c r="K323" s="53"/>
      <c r="L323" s="53"/>
      <c r="M323" s="54"/>
      <c r="N323" s="54"/>
      <c r="O323" s="54"/>
      <c r="P323" s="11" t="s">
        <v>886</v>
      </c>
      <c r="Q323" s="54"/>
      <c r="R323" s="64"/>
      <c r="S323" s="54"/>
      <c r="T323" s="17"/>
      <c r="U323" s="54"/>
      <c r="V323" s="56"/>
      <c r="W323" s="54"/>
      <c r="X323" s="54"/>
      <c r="Y323" s="54"/>
      <c r="Z323" s="16"/>
      <c r="AA323" s="19"/>
      <c r="AB323" s="54"/>
      <c r="AC323" s="12" t="str">
        <f t="shared" si="2"/>
        <v>IF_SCM_S040</v>
      </c>
    </row>
    <row r="324" ht="18.0" customHeight="1">
      <c r="A324" s="11">
        <f t="shared" si="1"/>
        <v>321</v>
      </c>
      <c r="B324" s="11" t="s">
        <v>738</v>
      </c>
      <c r="C324" s="11" t="s">
        <v>882</v>
      </c>
      <c r="D324" s="11" t="s">
        <v>883</v>
      </c>
      <c r="E324" s="11" t="s">
        <v>883</v>
      </c>
      <c r="F324" s="11" t="s">
        <v>980</v>
      </c>
      <c r="G324" s="31" t="s">
        <v>981</v>
      </c>
      <c r="H324" s="54"/>
      <c r="I324" s="64"/>
      <c r="J324" s="64"/>
      <c r="K324" s="53"/>
      <c r="L324" s="53"/>
      <c r="M324" s="54"/>
      <c r="N324" s="54"/>
      <c r="O324" s="54"/>
      <c r="P324" s="11" t="s">
        <v>886</v>
      </c>
      <c r="Q324" s="54"/>
      <c r="R324" s="64"/>
      <c r="S324" s="54"/>
      <c r="T324" s="17"/>
      <c r="U324" s="54"/>
      <c r="V324" s="56"/>
      <c r="W324" s="54"/>
      <c r="X324" s="54"/>
      <c r="Y324" s="54"/>
      <c r="Z324" s="16"/>
      <c r="AA324" s="19"/>
      <c r="AB324" s="54"/>
      <c r="AC324" s="12" t="str">
        <f t="shared" si="2"/>
        <v>IF_SCM_S041</v>
      </c>
    </row>
    <row r="325" ht="18.0" customHeight="1">
      <c r="A325" s="11">
        <f t="shared" si="1"/>
        <v>322</v>
      </c>
      <c r="B325" s="11" t="s">
        <v>738</v>
      </c>
      <c r="C325" s="11" t="s">
        <v>882</v>
      </c>
      <c r="D325" s="11" t="s">
        <v>883</v>
      </c>
      <c r="E325" s="11" t="s">
        <v>883</v>
      </c>
      <c r="F325" s="11" t="s">
        <v>982</v>
      </c>
      <c r="G325" s="31" t="s">
        <v>983</v>
      </c>
      <c r="H325" s="54"/>
      <c r="I325" s="64"/>
      <c r="J325" s="64"/>
      <c r="K325" s="53"/>
      <c r="L325" s="53"/>
      <c r="M325" s="54"/>
      <c r="N325" s="54"/>
      <c r="O325" s="54"/>
      <c r="P325" s="11" t="s">
        <v>886</v>
      </c>
      <c r="Q325" s="54"/>
      <c r="R325" s="64"/>
      <c r="S325" s="54"/>
      <c r="T325" s="17"/>
      <c r="U325" s="54"/>
      <c r="V325" s="56"/>
      <c r="W325" s="54"/>
      <c r="X325" s="54"/>
      <c r="Y325" s="54"/>
      <c r="Z325" s="16"/>
      <c r="AA325" s="19"/>
      <c r="AB325" s="54"/>
      <c r="AC325" s="12" t="str">
        <f t="shared" si="2"/>
        <v>IF_SCM_S042</v>
      </c>
    </row>
    <row r="326" ht="18.0" customHeight="1">
      <c r="A326" s="11">
        <f t="shared" si="1"/>
        <v>323</v>
      </c>
      <c r="B326" s="11" t="s">
        <v>738</v>
      </c>
      <c r="C326" s="11" t="s">
        <v>882</v>
      </c>
      <c r="D326" s="11" t="s">
        <v>883</v>
      </c>
      <c r="E326" s="11" t="s">
        <v>883</v>
      </c>
      <c r="F326" s="11" t="s">
        <v>984</v>
      </c>
      <c r="G326" s="31" t="s">
        <v>985</v>
      </c>
      <c r="H326" s="54"/>
      <c r="I326" s="64"/>
      <c r="J326" s="64"/>
      <c r="K326" s="53"/>
      <c r="L326" s="53"/>
      <c r="M326" s="54"/>
      <c r="N326" s="54"/>
      <c r="O326" s="54"/>
      <c r="P326" s="11" t="s">
        <v>886</v>
      </c>
      <c r="Q326" s="54"/>
      <c r="R326" s="64"/>
      <c r="S326" s="54"/>
      <c r="T326" s="17"/>
      <c r="U326" s="54"/>
      <c r="V326" s="56"/>
      <c r="W326" s="54"/>
      <c r="X326" s="54"/>
      <c r="Y326" s="54"/>
      <c r="Z326" s="16"/>
      <c r="AA326" s="19"/>
      <c r="AB326" s="54"/>
      <c r="AC326" s="12" t="str">
        <f t="shared" si="2"/>
        <v>IF_SCM_S043</v>
      </c>
    </row>
    <row r="327" ht="18.0" customHeight="1">
      <c r="A327" s="11">
        <f t="shared" si="1"/>
        <v>324</v>
      </c>
      <c r="B327" s="11" t="s">
        <v>738</v>
      </c>
      <c r="C327" s="11" t="s">
        <v>882</v>
      </c>
      <c r="D327" s="11" t="s">
        <v>883</v>
      </c>
      <c r="E327" s="11" t="s">
        <v>883</v>
      </c>
      <c r="F327" s="11" t="s">
        <v>986</v>
      </c>
      <c r="G327" s="31" t="s">
        <v>987</v>
      </c>
      <c r="H327" s="54"/>
      <c r="I327" s="64"/>
      <c r="J327" s="64"/>
      <c r="K327" s="53"/>
      <c r="L327" s="53"/>
      <c r="M327" s="54"/>
      <c r="N327" s="54"/>
      <c r="O327" s="54"/>
      <c r="P327" s="11" t="s">
        <v>886</v>
      </c>
      <c r="Q327" s="54"/>
      <c r="R327" s="64"/>
      <c r="S327" s="54"/>
      <c r="T327" s="17"/>
      <c r="U327" s="54"/>
      <c r="V327" s="56"/>
      <c r="W327" s="54"/>
      <c r="X327" s="54"/>
      <c r="Y327" s="54"/>
      <c r="Z327" s="16"/>
      <c r="AA327" s="19"/>
      <c r="AB327" s="54"/>
      <c r="AC327" s="12" t="str">
        <f t="shared" si="2"/>
        <v>IF_SCM_S044</v>
      </c>
    </row>
  </sheetData>
  <customSheetViews>
    <customSheetView guid="{7D01FF97-A283-413A-994E-B2A33BED5674}" filter="1" showAutoFilter="1">
      <autoFilter ref="$A$1:$AB$327"/>
      <extLst>
        <ext uri="GoogleSheetsCustomDataVersion1">
          <go:sheetsCustomData xmlns:go="http://customooxmlschemas.google.com/" filterViewId="1223469090"/>
        </ext>
      </extLst>
    </customSheetView>
  </customSheetViews>
  <mergeCells count="28">
    <mergeCell ref="A1:A3"/>
    <mergeCell ref="B1:B3"/>
    <mergeCell ref="C1:C3"/>
    <mergeCell ref="D1:D3"/>
    <mergeCell ref="E1:E3"/>
    <mergeCell ref="F1:F3"/>
    <mergeCell ref="G1:G3"/>
    <mergeCell ref="Z1:Z3"/>
    <mergeCell ref="AA1:AA3"/>
    <mergeCell ref="AB1:AB3"/>
    <mergeCell ref="AC1:AC3"/>
    <mergeCell ref="S1:S3"/>
    <mergeCell ref="T1:T3"/>
    <mergeCell ref="U1:U3"/>
    <mergeCell ref="V1:V3"/>
    <mergeCell ref="W1:W3"/>
    <mergeCell ref="X1:X3"/>
    <mergeCell ref="Y1:Y3"/>
    <mergeCell ref="H2:H3"/>
    <mergeCell ref="I2:J2"/>
    <mergeCell ref="H1:L1"/>
    <mergeCell ref="M1:M3"/>
    <mergeCell ref="N1:N3"/>
    <mergeCell ref="O1:O3"/>
    <mergeCell ref="P1:P3"/>
    <mergeCell ref="Q1:Q3"/>
    <mergeCell ref="R1:R3"/>
    <mergeCell ref="K2:L2"/>
  </mergeCells>
  <dataValidations>
    <dataValidation type="custom" allowBlank="1" showDropDown="1" sqref="AA4:AA13 AA15:AA16 AA23 AA26 AA34 AA49 AA51 AA60:AA73 AA75 AA93 AA95:AA106 AA113:AA126 AA128 AA130:AA135 AA141:AA145 AA148:AA327">
      <formula1>OR(NOT(ISERROR(DATEVALUE(AA4))), AND(ISNUMBER(AA4), LEFT(CELL("format", AA4))="D"))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0.0" ySplit="1.0" topLeftCell="K2" activePane="bottomRight" state="frozen"/>
      <selection activeCell="K1" sqref="K1" pane="topRight"/>
      <selection activeCell="A2" sqref="A2" pane="bottomLeft"/>
      <selection activeCell="K2" sqref="K2" pane="bottomRight"/>
    </sheetView>
  </sheetViews>
  <sheetFormatPr customHeight="1" defaultColWidth="12.63" defaultRowHeight="15.0"/>
  <cols>
    <col customWidth="1" min="1" max="1" width="7.75"/>
    <col customWidth="1" min="2" max="2" width="5.0"/>
    <col customWidth="1" min="3" max="3" width="10.38"/>
    <col customWidth="1" min="4" max="4" width="14.25"/>
    <col customWidth="1" min="5" max="6" width="8.38"/>
    <col customWidth="1" min="7" max="7" width="17.75"/>
    <col customWidth="1" min="8" max="8" width="34.63"/>
    <col customWidth="1" hidden="1" min="9" max="9" width="9.88"/>
    <col customWidth="1" min="10" max="10" width="16.0"/>
    <col customWidth="1" hidden="1" min="11" max="13" width="16.0"/>
    <col customWidth="1" hidden="1" min="14" max="14" width="19.13"/>
    <col customWidth="1" min="15" max="15" width="10.0"/>
    <col customWidth="1" min="16" max="16" width="5.38"/>
    <col customWidth="1" min="17" max="17" width="11.25"/>
    <col customWidth="1" hidden="1" min="18" max="18" width="7.0"/>
    <col customWidth="1" hidden="1" min="19" max="19" width="14.5"/>
    <col customWidth="1" hidden="1" min="20" max="20" width="8.75"/>
    <col customWidth="1" min="21" max="21" width="13.63"/>
    <col customWidth="1" hidden="1" min="22" max="22" width="9.5"/>
    <col customWidth="1" hidden="1" min="23" max="23" width="8.0"/>
    <col customWidth="1" hidden="1" min="24" max="24" width="10.13"/>
    <col customWidth="1" min="25" max="25" width="8.13"/>
    <col customWidth="1" min="26" max="26" width="7.5"/>
    <col customWidth="1" min="27" max="27" width="15.13"/>
    <col customWidth="1" min="28" max="28" width="14.63"/>
    <col customWidth="1" min="29" max="29" width="17.38"/>
    <col customWidth="1" min="30" max="30" width="12.75"/>
    <col customWidth="1" min="31" max="33" width="16.0"/>
    <col customWidth="1" min="34" max="34" width="33.75"/>
    <col customWidth="1" min="35" max="35" width="18.88"/>
  </cols>
  <sheetData>
    <row r="1" ht="19.5" customHeight="1">
      <c r="A1" s="9" t="s">
        <v>28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38</v>
      </c>
      <c r="J1" s="9" t="s">
        <v>46</v>
      </c>
      <c r="K1" s="9" t="s">
        <v>49</v>
      </c>
      <c r="L1" s="9" t="s">
        <v>50</v>
      </c>
      <c r="M1" s="9" t="s">
        <v>51</v>
      </c>
      <c r="N1" s="9" t="s">
        <v>16</v>
      </c>
      <c r="O1" s="9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9" t="s">
        <v>23</v>
      </c>
      <c r="U1" s="9" t="s">
        <v>24</v>
      </c>
      <c r="V1" s="9" t="s">
        <v>25</v>
      </c>
      <c r="W1" s="9" t="s">
        <v>26</v>
      </c>
      <c r="X1" s="9" t="s">
        <v>29</v>
      </c>
      <c r="Y1" s="9" t="s">
        <v>58</v>
      </c>
      <c r="Z1" s="9" t="s">
        <v>59</v>
      </c>
      <c r="AA1" s="9" t="s">
        <v>60</v>
      </c>
      <c r="AB1" s="9" t="s">
        <v>61</v>
      </c>
      <c r="AC1" s="9" t="s">
        <v>62</v>
      </c>
      <c r="AD1" s="9" t="s">
        <v>65</v>
      </c>
      <c r="AE1" s="9" t="s">
        <v>67</v>
      </c>
      <c r="AF1" s="9" t="s">
        <v>68</v>
      </c>
      <c r="AG1" s="9" t="s">
        <v>69</v>
      </c>
      <c r="AH1" s="9" t="s">
        <v>70</v>
      </c>
      <c r="AI1" s="9" t="s">
        <v>73</v>
      </c>
    </row>
    <row r="2" ht="19.5" customHeight="1">
      <c r="A2" s="20">
        <v>1.0</v>
      </c>
      <c r="B2" s="20">
        <f t="shared" ref="B2:B325" si="1">row() - 1</f>
        <v>1</v>
      </c>
      <c r="C2" s="21" t="s">
        <v>43</v>
      </c>
      <c r="D2" s="21" t="s">
        <v>44</v>
      </c>
      <c r="E2" s="21" t="s">
        <v>45</v>
      </c>
      <c r="F2" s="21" t="s">
        <v>47</v>
      </c>
      <c r="G2" s="21" t="s">
        <v>48</v>
      </c>
      <c r="H2" s="22" t="s">
        <v>52</v>
      </c>
      <c r="I2" s="21" t="s">
        <v>53</v>
      </c>
      <c r="J2" s="23">
        <v>46274.0</v>
      </c>
      <c r="K2" s="23">
        <v>46282.0</v>
      </c>
      <c r="L2" s="24"/>
      <c r="M2" s="24"/>
      <c r="N2" s="25"/>
      <c r="O2" s="21" t="s">
        <v>54</v>
      </c>
      <c r="P2" s="21" t="s">
        <v>55</v>
      </c>
      <c r="Q2" s="21">
        <v>1.0</v>
      </c>
      <c r="R2" s="25"/>
      <c r="S2" s="23">
        <v>46246.0</v>
      </c>
      <c r="T2" s="25"/>
      <c r="U2" s="26"/>
      <c r="V2" s="21" t="s">
        <v>54</v>
      </c>
      <c r="W2" s="27"/>
      <c r="X2" s="21" t="s">
        <v>56</v>
      </c>
      <c r="Y2" s="21" t="s">
        <v>57</v>
      </c>
      <c r="Z2" s="25"/>
      <c r="AA2" s="28">
        <v>46268.0</v>
      </c>
      <c r="AB2" s="29"/>
      <c r="AC2" s="30"/>
      <c r="AD2" s="21"/>
      <c r="AE2" s="28"/>
      <c r="AF2" s="28"/>
      <c r="AG2" s="28"/>
      <c r="AH2" s="33"/>
      <c r="AI2" s="33"/>
    </row>
    <row r="3" ht="19.5" customHeight="1">
      <c r="A3" s="20">
        <v>2.0</v>
      </c>
      <c r="B3" s="20">
        <f t="shared" si="1"/>
        <v>2</v>
      </c>
      <c r="C3" s="21" t="s">
        <v>43</v>
      </c>
      <c r="D3" s="21" t="s">
        <v>44</v>
      </c>
      <c r="E3" s="21" t="s">
        <v>45</v>
      </c>
      <c r="F3" s="21" t="s">
        <v>47</v>
      </c>
      <c r="G3" s="21" t="s">
        <v>63</v>
      </c>
      <c r="H3" s="22" t="s">
        <v>64</v>
      </c>
      <c r="I3" s="21" t="s">
        <v>66</v>
      </c>
      <c r="J3" s="23">
        <v>46306.0</v>
      </c>
      <c r="K3" s="23">
        <v>46313.0</v>
      </c>
      <c r="L3" s="24"/>
      <c r="M3" s="24"/>
      <c r="N3" s="25"/>
      <c r="O3" s="21" t="s">
        <v>54</v>
      </c>
      <c r="P3" s="21" t="s">
        <v>55</v>
      </c>
      <c r="Q3" s="21">
        <v>1.0</v>
      </c>
      <c r="R3" s="25"/>
      <c r="S3" s="23">
        <v>46246.0</v>
      </c>
      <c r="T3" s="25"/>
      <c r="U3" s="26"/>
      <c r="V3" s="21" t="s">
        <v>54</v>
      </c>
      <c r="W3" s="27"/>
      <c r="X3" s="21" t="s">
        <v>56</v>
      </c>
      <c r="Y3" s="21" t="s">
        <v>57</v>
      </c>
      <c r="Z3" s="25"/>
      <c r="AA3" s="28">
        <v>46268.0</v>
      </c>
      <c r="AB3" s="29"/>
      <c r="AC3" s="30"/>
      <c r="AD3" s="21"/>
      <c r="AE3" s="28"/>
      <c r="AF3" s="28"/>
      <c r="AG3" s="28"/>
      <c r="AH3" s="33"/>
      <c r="AI3" s="33"/>
    </row>
    <row r="4" ht="19.5" customHeight="1">
      <c r="A4" s="20">
        <v>3.0</v>
      </c>
      <c r="B4" s="20">
        <f t="shared" si="1"/>
        <v>3</v>
      </c>
      <c r="C4" s="21" t="s">
        <v>43</v>
      </c>
      <c r="D4" s="21" t="s">
        <v>44</v>
      </c>
      <c r="E4" s="21" t="s">
        <v>45</v>
      </c>
      <c r="F4" s="21" t="s">
        <v>47</v>
      </c>
      <c r="G4" s="21" t="s">
        <v>71</v>
      </c>
      <c r="H4" s="22" t="s">
        <v>72</v>
      </c>
      <c r="I4" s="21" t="s">
        <v>53</v>
      </c>
      <c r="J4" s="23">
        <v>46340.0</v>
      </c>
      <c r="K4" s="23">
        <v>46345.0</v>
      </c>
      <c r="L4" s="24"/>
      <c r="M4" s="24"/>
      <c r="N4" s="25"/>
      <c r="O4" s="21" t="s">
        <v>54</v>
      </c>
      <c r="P4" s="21" t="s">
        <v>55</v>
      </c>
      <c r="Q4" s="21">
        <v>1.0</v>
      </c>
      <c r="R4" s="25"/>
      <c r="S4" s="23">
        <v>46246.0</v>
      </c>
      <c r="T4" s="25"/>
      <c r="U4" s="26"/>
      <c r="V4" s="21" t="s">
        <v>54</v>
      </c>
      <c r="W4" s="27"/>
      <c r="X4" s="21" t="s">
        <v>56</v>
      </c>
      <c r="Y4" s="21" t="s">
        <v>57</v>
      </c>
      <c r="Z4" s="25"/>
      <c r="AA4" s="28">
        <v>46268.0</v>
      </c>
      <c r="AB4" s="29"/>
      <c r="AC4" s="30"/>
      <c r="AD4" s="21"/>
      <c r="AE4" s="28"/>
      <c r="AF4" s="28"/>
      <c r="AG4" s="28"/>
      <c r="AH4" s="33"/>
      <c r="AI4" s="33"/>
    </row>
    <row r="5" ht="19.5" customHeight="1">
      <c r="A5" s="20">
        <v>4.0</v>
      </c>
      <c r="B5" s="20">
        <f t="shared" si="1"/>
        <v>4</v>
      </c>
      <c r="C5" s="21" t="s">
        <v>43</v>
      </c>
      <c r="D5" s="21" t="s">
        <v>44</v>
      </c>
      <c r="E5" s="21" t="s">
        <v>45</v>
      </c>
      <c r="F5" s="21" t="s">
        <v>47</v>
      </c>
      <c r="G5" s="21" t="s">
        <v>74</v>
      </c>
      <c r="H5" s="22" t="s">
        <v>75</v>
      </c>
      <c r="I5" s="21" t="s">
        <v>66</v>
      </c>
      <c r="J5" s="23">
        <v>46282.0</v>
      </c>
      <c r="K5" s="23">
        <v>46288.0</v>
      </c>
      <c r="L5" s="24"/>
      <c r="M5" s="24"/>
      <c r="N5" s="25"/>
      <c r="O5" s="21" t="s">
        <v>54</v>
      </c>
      <c r="P5" s="21" t="s">
        <v>76</v>
      </c>
      <c r="Q5" s="21">
        <v>1.0</v>
      </c>
      <c r="R5" s="25"/>
      <c r="S5" s="23">
        <v>46246.0</v>
      </c>
      <c r="T5" s="25"/>
      <c r="U5" s="26"/>
      <c r="V5" s="21" t="s">
        <v>54</v>
      </c>
      <c r="W5" s="27"/>
      <c r="X5" s="21" t="s">
        <v>56</v>
      </c>
      <c r="Y5" s="21" t="s">
        <v>57</v>
      </c>
      <c r="Z5" s="25"/>
      <c r="AA5" s="28">
        <v>46268.0</v>
      </c>
      <c r="AB5" s="29"/>
      <c r="AC5" s="30"/>
      <c r="AD5" s="21"/>
      <c r="AE5" s="28"/>
      <c r="AF5" s="28"/>
      <c r="AG5" s="28"/>
      <c r="AH5" s="33"/>
      <c r="AI5" s="33"/>
    </row>
    <row r="6" ht="19.5" customHeight="1">
      <c r="A6" s="20">
        <v>5.0</v>
      </c>
      <c r="B6" s="20">
        <f t="shared" si="1"/>
        <v>5</v>
      </c>
      <c r="C6" s="21" t="s">
        <v>43</v>
      </c>
      <c r="D6" s="21" t="s">
        <v>44</v>
      </c>
      <c r="E6" s="21" t="s">
        <v>45</v>
      </c>
      <c r="F6" s="21" t="s">
        <v>47</v>
      </c>
      <c r="G6" s="21" t="s">
        <v>77</v>
      </c>
      <c r="H6" s="22" t="s">
        <v>78</v>
      </c>
      <c r="I6" s="21" t="s">
        <v>66</v>
      </c>
      <c r="J6" s="23">
        <v>46345.0</v>
      </c>
      <c r="K6" s="23">
        <v>46348.0</v>
      </c>
      <c r="L6" s="24"/>
      <c r="M6" s="24"/>
      <c r="N6" s="25"/>
      <c r="O6" s="21" t="s">
        <v>54</v>
      </c>
      <c r="P6" s="21" t="s">
        <v>76</v>
      </c>
      <c r="Q6" s="21">
        <v>1.0</v>
      </c>
      <c r="R6" s="25"/>
      <c r="S6" s="23">
        <v>46246.0</v>
      </c>
      <c r="T6" s="25"/>
      <c r="U6" s="26"/>
      <c r="V6" s="21" t="s">
        <v>54</v>
      </c>
      <c r="W6" s="27"/>
      <c r="X6" s="21" t="s">
        <v>56</v>
      </c>
      <c r="Y6" s="21" t="s">
        <v>57</v>
      </c>
      <c r="Z6" s="25"/>
      <c r="AA6" s="28">
        <v>46268.0</v>
      </c>
      <c r="AB6" s="29"/>
      <c r="AC6" s="30"/>
      <c r="AD6" s="21"/>
      <c r="AE6" s="28"/>
      <c r="AF6" s="28"/>
      <c r="AG6" s="28"/>
      <c r="AH6" s="33"/>
      <c r="AI6" s="33"/>
    </row>
    <row r="7" ht="19.5" customHeight="1">
      <c r="A7" s="20">
        <v>6.0</v>
      </c>
      <c r="B7" s="20">
        <f t="shared" si="1"/>
        <v>6</v>
      </c>
      <c r="C7" s="21" t="s">
        <v>43</v>
      </c>
      <c r="D7" s="21" t="s">
        <v>44</v>
      </c>
      <c r="E7" s="21" t="s">
        <v>45</v>
      </c>
      <c r="F7" s="21" t="s">
        <v>79</v>
      </c>
      <c r="G7" s="21" t="s">
        <v>80</v>
      </c>
      <c r="H7" s="22" t="s">
        <v>81</v>
      </c>
      <c r="I7" s="21" t="s">
        <v>66</v>
      </c>
      <c r="J7" s="23">
        <v>46347.0</v>
      </c>
      <c r="K7" s="23">
        <v>46348.0</v>
      </c>
      <c r="L7" s="24"/>
      <c r="M7" s="24"/>
      <c r="N7" s="25"/>
      <c r="O7" s="21" t="s">
        <v>82</v>
      </c>
      <c r="P7" s="21" t="s">
        <v>76</v>
      </c>
      <c r="Q7" s="21">
        <v>1.0</v>
      </c>
      <c r="R7" s="25"/>
      <c r="S7" s="23">
        <v>46246.0</v>
      </c>
      <c r="T7" s="25"/>
      <c r="U7" s="26"/>
      <c r="V7" s="21" t="s">
        <v>54</v>
      </c>
      <c r="W7" s="27"/>
      <c r="X7" s="21" t="s">
        <v>56</v>
      </c>
      <c r="Y7" s="21" t="s">
        <v>57</v>
      </c>
      <c r="Z7" s="25"/>
      <c r="AA7" s="28">
        <v>46268.0</v>
      </c>
      <c r="AB7" s="29"/>
      <c r="AC7" s="30"/>
      <c r="AD7" s="21"/>
      <c r="AE7" s="28"/>
      <c r="AF7" s="28"/>
      <c r="AG7" s="28"/>
      <c r="AH7" s="33"/>
      <c r="AI7" s="33"/>
    </row>
    <row r="8" ht="19.5" customHeight="1">
      <c r="A8" s="20">
        <v>7.0</v>
      </c>
      <c r="B8" s="20">
        <f t="shared" si="1"/>
        <v>7</v>
      </c>
      <c r="C8" s="21" t="s">
        <v>43</v>
      </c>
      <c r="D8" s="21" t="s">
        <v>44</v>
      </c>
      <c r="E8" s="21" t="s">
        <v>45</v>
      </c>
      <c r="F8" s="21" t="s">
        <v>47</v>
      </c>
      <c r="G8" s="21" t="s">
        <v>83</v>
      </c>
      <c r="H8" s="22" t="s">
        <v>84</v>
      </c>
      <c r="I8" s="21" t="s">
        <v>66</v>
      </c>
      <c r="J8" s="23">
        <v>46351.0</v>
      </c>
      <c r="K8" s="23">
        <v>46355.0</v>
      </c>
      <c r="L8" s="24"/>
      <c r="M8" s="24"/>
      <c r="N8" s="25"/>
      <c r="O8" s="21" t="s">
        <v>54</v>
      </c>
      <c r="P8" s="21" t="s">
        <v>85</v>
      </c>
      <c r="Q8" s="21">
        <v>1.0</v>
      </c>
      <c r="R8" s="25"/>
      <c r="S8" s="23">
        <v>46246.0</v>
      </c>
      <c r="T8" s="25"/>
      <c r="U8" s="26"/>
      <c r="V8" s="21" t="s">
        <v>54</v>
      </c>
      <c r="W8" s="27"/>
      <c r="X8" s="21" t="s">
        <v>56</v>
      </c>
      <c r="Y8" s="21" t="s">
        <v>57</v>
      </c>
      <c r="Z8" s="25"/>
      <c r="AA8" s="28">
        <v>46268.0</v>
      </c>
      <c r="AB8" s="29"/>
      <c r="AC8" s="30"/>
      <c r="AD8" s="21"/>
      <c r="AE8" s="28"/>
      <c r="AF8" s="28"/>
      <c r="AG8" s="28"/>
      <c r="AH8" s="33"/>
      <c r="AI8" s="33"/>
    </row>
    <row r="9" ht="19.5" customHeight="1">
      <c r="A9" s="20">
        <v>8.0</v>
      </c>
      <c r="B9" s="20">
        <f t="shared" si="1"/>
        <v>8</v>
      </c>
      <c r="C9" s="21" t="s">
        <v>43</v>
      </c>
      <c r="D9" s="21" t="s">
        <v>44</v>
      </c>
      <c r="E9" s="21" t="s">
        <v>45</v>
      </c>
      <c r="F9" s="21" t="s">
        <v>79</v>
      </c>
      <c r="G9" s="21" t="s">
        <v>86</v>
      </c>
      <c r="H9" s="22" t="s">
        <v>87</v>
      </c>
      <c r="I9" s="21" t="s">
        <v>66</v>
      </c>
      <c r="J9" s="23">
        <v>46354.0</v>
      </c>
      <c r="K9" s="23">
        <v>46355.0</v>
      </c>
      <c r="L9" s="24"/>
      <c r="M9" s="24"/>
      <c r="N9" s="25"/>
      <c r="O9" s="21" t="s">
        <v>82</v>
      </c>
      <c r="P9" s="21" t="s">
        <v>76</v>
      </c>
      <c r="Q9" s="21">
        <v>1.0</v>
      </c>
      <c r="R9" s="25"/>
      <c r="S9" s="23">
        <v>46246.0</v>
      </c>
      <c r="T9" s="25"/>
      <c r="U9" s="26"/>
      <c r="V9" s="21" t="s">
        <v>54</v>
      </c>
      <c r="W9" s="27"/>
      <c r="X9" s="21" t="s">
        <v>56</v>
      </c>
      <c r="Y9" s="21" t="s">
        <v>57</v>
      </c>
      <c r="Z9" s="25"/>
      <c r="AA9" s="28">
        <v>46268.0</v>
      </c>
      <c r="AB9" s="29"/>
      <c r="AC9" s="30"/>
      <c r="AD9" s="25"/>
      <c r="AE9" s="29"/>
      <c r="AF9" s="29"/>
      <c r="AG9" s="29"/>
      <c r="AH9" s="26"/>
      <c r="AI9" s="26"/>
    </row>
    <row r="10" ht="19.5" customHeight="1">
      <c r="A10" s="20">
        <v>9.0</v>
      </c>
      <c r="B10" s="20">
        <f t="shared" si="1"/>
        <v>9</v>
      </c>
      <c r="C10" s="21" t="s">
        <v>43</v>
      </c>
      <c r="D10" s="21" t="s">
        <v>44</v>
      </c>
      <c r="E10" s="21" t="s">
        <v>45</v>
      </c>
      <c r="F10" s="21" t="s">
        <v>47</v>
      </c>
      <c r="G10" s="21" t="s">
        <v>88</v>
      </c>
      <c r="H10" s="22" t="s">
        <v>89</v>
      </c>
      <c r="I10" s="21" t="s">
        <v>66</v>
      </c>
      <c r="J10" s="23">
        <v>46325.0</v>
      </c>
      <c r="K10" s="23">
        <v>46332.0</v>
      </c>
      <c r="L10" s="24"/>
      <c r="M10" s="24"/>
      <c r="N10" s="25"/>
      <c r="O10" s="21" t="s">
        <v>54</v>
      </c>
      <c r="P10" s="21" t="s">
        <v>55</v>
      </c>
      <c r="Q10" s="21">
        <v>1.0</v>
      </c>
      <c r="R10" s="25"/>
      <c r="S10" s="23">
        <v>46246.0</v>
      </c>
      <c r="T10" s="25"/>
      <c r="U10" s="26"/>
      <c r="V10" s="21" t="s">
        <v>54</v>
      </c>
      <c r="W10" s="27"/>
      <c r="X10" s="21" t="s">
        <v>56</v>
      </c>
      <c r="Y10" s="21" t="s">
        <v>57</v>
      </c>
      <c r="Z10" s="25"/>
      <c r="AA10" s="28">
        <v>46268.0</v>
      </c>
      <c r="AB10" s="29"/>
      <c r="AC10" s="30"/>
      <c r="AD10" s="25"/>
      <c r="AE10" s="29"/>
      <c r="AF10" s="29"/>
      <c r="AG10" s="29"/>
      <c r="AH10" s="26"/>
      <c r="AI10" s="26"/>
    </row>
    <row r="11" ht="19.5" customHeight="1">
      <c r="A11" s="20">
        <v>10.0</v>
      </c>
      <c r="B11" s="20">
        <f t="shared" si="1"/>
        <v>10</v>
      </c>
      <c r="C11" s="21" t="s">
        <v>43</v>
      </c>
      <c r="D11" s="21" t="s">
        <v>44</v>
      </c>
      <c r="E11" s="21" t="s">
        <v>45</v>
      </c>
      <c r="F11" s="21" t="s">
        <v>47</v>
      </c>
      <c r="G11" s="21" t="s">
        <v>90</v>
      </c>
      <c r="H11" s="22" t="s">
        <v>91</v>
      </c>
      <c r="I11" s="21" t="s">
        <v>66</v>
      </c>
      <c r="J11" s="23">
        <v>46333.0</v>
      </c>
      <c r="K11" s="23">
        <v>46334.0</v>
      </c>
      <c r="L11" s="24"/>
      <c r="M11" s="24"/>
      <c r="N11" s="25"/>
      <c r="O11" s="21" t="s">
        <v>54</v>
      </c>
      <c r="P11" s="21" t="s">
        <v>55</v>
      </c>
      <c r="Q11" s="21">
        <v>1.0</v>
      </c>
      <c r="R11" s="25"/>
      <c r="S11" s="23">
        <v>46253.0</v>
      </c>
      <c r="T11" s="25"/>
      <c r="U11" s="26"/>
      <c r="V11" s="21" t="s">
        <v>54</v>
      </c>
      <c r="W11" s="27"/>
      <c r="X11" s="21" t="s">
        <v>56</v>
      </c>
      <c r="Y11" s="21" t="s">
        <v>57</v>
      </c>
      <c r="Z11" s="25"/>
      <c r="AA11" s="28">
        <v>46268.0</v>
      </c>
      <c r="AB11" s="29"/>
      <c r="AC11" s="30"/>
      <c r="AD11" s="25"/>
      <c r="AE11" s="29"/>
      <c r="AF11" s="29"/>
      <c r="AG11" s="29"/>
      <c r="AH11" s="26"/>
      <c r="AI11" s="26"/>
    </row>
    <row r="12" ht="19.5" customHeight="1">
      <c r="A12" s="20">
        <v>11.0</v>
      </c>
      <c r="B12" s="20">
        <f t="shared" si="1"/>
        <v>11</v>
      </c>
      <c r="C12" s="21" t="s">
        <v>43</v>
      </c>
      <c r="D12" s="21" t="s">
        <v>92</v>
      </c>
      <c r="E12" s="21" t="s">
        <v>45</v>
      </c>
      <c r="F12" s="21" t="s">
        <v>47</v>
      </c>
      <c r="G12" s="21" t="s">
        <v>93</v>
      </c>
      <c r="H12" s="33" t="s">
        <v>94</v>
      </c>
      <c r="I12" s="21" t="s">
        <v>95</v>
      </c>
      <c r="J12" s="28">
        <v>46281.0</v>
      </c>
      <c r="K12" s="28">
        <v>46295.0</v>
      </c>
      <c r="L12" s="24"/>
      <c r="M12" s="24"/>
      <c r="N12" s="25"/>
      <c r="O12" s="21" t="s">
        <v>54</v>
      </c>
      <c r="P12" s="21" t="s">
        <v>55</v>
      </c>
      <c r="Q12" s="21">
        <v>1.0</v>
      </c>
      <c r="R12" s="25"/>
      <c r="S12" s="28">
        <v>46236.0</v>
      </c>
      <c r="T12" s="25"/>
      <c r="U12" s="26"/>
      <c r="V12" s="21" t="s">
        <v>54</v>
      </c>
      <c r="W12" s="27"/>
      <c r="X12" s="21" t="s">
        <v>56</v>
      </c>
      <c r="Y12" s="21" t="s">
        <v>57</v>
      </c>
      <c r="Z12" s="21" t="s">
        <v>57</v>
      </c>
      <c r="AA12" s="28">
        <v>46268.0</v>
      </c>
      <c r="AB12" s="28">
        <v>46268.0</v>
      </c>
      <c r="AC12" s="30" t="s">
        <v>269</v>
      </c>
      <c r="AD12" s="57" t="s">
        <v>182</v>
      </c>
      <c r="AE12" s="58">
        <v>46268.0</v>
      </c>
      <c r="AF12" s="58">
        <v>46268.0</v>
      </c>
      <c r="AG12" s="28">
        <v>46269.0</v>
      </c>
      <c r="AH12" s="26"/>
      <c r="AI12" s="26"/>
    </row>
    <row r="13" ht="19.5" customHeight="1">
      <c r="A13" s="20">
        <v>12.0</v>
      </c>
      <c r="B13" s="20">
        <f t="shared" si="1"/>
        <v>12</v>
      </c>
      <c r="C13" s="21" t="s">
        <v>43</v>
      </c>
      <c r="D13" s="21" t="s">
        <v>92</v>
      </c>
      <c r="E13" s="21" t="s">
        <v>45</v>
      </c>
      <c r="F13" s="21" t="s">
        <v>47</v>
      </c>
      <c r="G13" s="21" t="s">
        <v>96</v>
      </c>
      <c r="H13" s="33" t="s">
        <v>97</v>
      </c>
      <c r="I13" s="21" t="s">
        <v>95</v>
      </c>
      <c r="J13" s="28">
        <v>46267.0</v>
      </c>
      <c r="K13" s="28">
        <v>46276.0</v>
      </c>
      <c r="L13" s="24"/>
      <c r="M13" s="24"/>
      <c r="N13" s="25"/>
      <c r="O13" s="21" t="s">
        <v>82</v>
      </c>
      <c r="P13" s="21" t="s">
        <v>85</v>
      </c>
      <c r="Q13" s="21">
        <v>1.0</v>
      </c>
      <c r="R13" s="25"/>
      <c r="S13" s="28">
        <v>46236.0</v>
      </c>
      <c r="T13" s="25"/>
      <c r="U13" s="26"/>
      <c r="V13" s="21" t="s">
        <v>54</v>
      </c>
      <c r="W13" s="27"/>
      <c r="X13" s="21" t="s">
        <v>56</v>
      </c>
      <c r="Y13" s="21" t="s">
        <v>57</v>
      </c>
      <c r="Z13" s="21" t="s">
        <v>57</v>
      </c>
      <c r="AA13" s="28">
        <v>46268.0</v>
      </c>
      <c r="AB13" s="29"/>
      <c r="AC13" s="30" t="s">
        <v>269</v>
      </c>
      <c r="AD13" s="57" t="s">
        <v>182</v>
      </c>
      <c r="AE13" s="58">
        <v>46268.0</v>
      </c>
      <c r="AF13" s="58">
        <v>46268.0</v>
      </c>
      <c r="AG13" s="28">
        <v>46269.0</v>
      </c>
      <c r="AH13" s="26"/>
      <c r="AI13" s="26"/>
    </row>
    <row r="14" ht="19.5" customHeight="1">
      <c r="A14" s="20">
        <v>13.0</v>
      </c>
      <c r="B14" s="20">
        <f t="shared" si="1"/>
        <v>13</v>
      </c>
      <c r="C14" s="21" t="s">
        <v>43</v>
      </c>
      <c r="D14" s="21" t="s">
        <v>92</v>
      </c>
      <c r="E14" s="21" t="s">
        <v>45</v>
      </c>
      <c r="F14" s="21" t="s">
        <v>47</v>
      </c>
      <c r="G14" s="21" t="s">
        <v>98</v>
      </c>
      <c r="H14" s="33" t="s">
        <v>99</v>
      </c>
      <c r="I14" s="21" t="s">
        <v>95</v>
      </c>
      <c r="J14" s="28">
        <v>46277.0</v>
      </c>
      <c r="K14" s="28">
        <v>46278.0</v>
      </c>
      <c r="L14" s="24"/>
      <c r="M14" s="24"/>
      <c r="N14" s="25"/>
      <c r="O14" s="21" t="s">
        <v>82</v>
      </c>
      <c r="P14" s="21" t="s">
        <v>85</v>
      </c>
      <c r="Q14" s="21">
        <v>1.0</v>
      </c>
      <c r="R14" s="25"/>
      <c r="S14" s="28">
        <v>46236.0</v>
      </c>
      <c r="T14" s="25"/>
      <c r="U14" s="26"/>
      <c r="V14" s="21" t="s">
        <v>54</v>
      </c>
      <c r="W14" s="27"/>
      <c r="X14" s="21" t="s">
        <v>56</v>
      </c>
      <c r="Y14" s="21" t="s">
        <v>57</v>
      </c>
      <c r="Z14" s="21" t="s">
        <v>57</v>
      </c>
      <c r="AA14" s="28">
        <v>46268.0</v>
      </c>
      <c r="AB14" s="29"/>
      <c r="AC14" s="30" t="s">
        <v>269</v>
      </c>
      <c r="AD14" s="57" t="s">
        <v>182</v>
      </c>
      <c r="AE14" s="58">
        <v>46268.0</v>
      </c>
      <c r="AF14" s="58">
        <v>46268.0</v>
      </c>
      <c r="AG14" s="28">
        <v>46269.0</v>
      </c>
      <c r="AH14" s="26"/>
      <c r="AI14" s="26"/>
    </row>
    <row r="15" ht="19.5" customHeight="1">
      <c r="A15" s="20">
        <v>14.0</v>
      </c>
      <c r="B15" s="20">
        <f t="shared" si="1"/>
        <v>14</v>
      </c>
      <c r="C15" s="21" t="s">
        <v>43</v>
      </c>
      <c r="D15" s="21" t="s">
        <v>92</v>
      </c>
      <c r="E15" s="21" t="s">
        <v>45</v>
      </c>
      <c r="F15" s="21" t="s">
        <v>47</v>
      </c>
      <c r="G15" s="21" t="s">
        <v>100</v>
      </c>
      <c r="H15" s="33" t="s">
        <v>101</v>
      </c>
      <c r="I15" s="21" t="s">
        <v>95</v>
      </c>
      <c r="J15" s="28">
        <v>46281.0</v>
      </c>
      <c r="K15" s="28">
        <v>46288.0</v>
      </c>
      <c r="L15" s="24"/>
      <c r="M15" s="24"/>
      <c r="N15" s="25"/>
      <c r="O15" s="21" t="s">
        <v>54</v>
      </c>
      <c r="P15" s="21" t="s">
        <v>55</v>
      </c>
      <c r="Q15" s="21">
        <v>1.0</v>
      </c>
      <c r="R15" s="25"/>
      <c r="S15" s="28">
        <v>46236.0</v>
      </c>
      <c r="T15" s="25"/>
      <c r="U15" s="26"/>
      <c r="V15" s="21" t="s">
        <v>54</v>
      </c>
      <c r="W15" s="27"/>
      <c r="X15" s="21" t="s">
        <v>56</v>
      </c>
      <c r="Y15" s="21" t="s">
        <v>57</v>
      </c>
      <c r="Z15" s="21" t="s">
        <v>57</v>
      </c>
      <c r="AA15" s="28">
        <v>46268.0</v>
      </c>
      <c r="AB15" s="28">
        <v>46268.0</v>
      </c>
      <c r="AC15" s="30" t="s">
        <v>269</v>
      </c>
      <c r="AD15" s="57" t="s">
        <v>182</v>
      </c>
      <c r="AE15" s="58">
        <v>46268.0</v>
      </c>
      <c r="AF15" s="58">
        <v>46268.0</v>
      </c>
      <c r="AG15" s="28">
        <v>46269.0</v>
      </c>
      <c r="AH15" s="26"/>
      <c r="AI15" s="26"/>
    </row>
    <row r="16" ht="19.5" customHeight="1">
      <c r="A16" s="20">
        <v>15.0</v>
      </c>
      <c r="B16" s="20">
        <f t="shared" si="1"/>
        <v>15</v>
      </c>
      <c r="C16" s="21" t="s">
        <v>43</v>
      </c>
      <c r="D16" s="21" t="s">
        <v>92</v>
      </c>
      <c r="E16" s="21" t="s">
        <v>45</v>
      </c>
      <c r="F16" s="21" t="s">
        <v>47</v>
      </c>
      <c r="G16" s="21" t="s">
        <v>102</v>
      </c>
      <c r="H16" s="33" t="s">
        <v>103</v>
      </c>
      <c r="I16" s="21" t="s">
        <v>95</v>
      </c>
      <c r="J16" s="28">
        <v>46294.0</v>
      </c>
      <c r="K16" s="28">
        <v>46295.0</v>
      </c>
      <c r="L16" s="24"/>
      <c r="M16" s="24"/>
      <c r="N16" s="25"/>
      <c r="O16" s="21" t="s">
        <v>54</v>
      </c>
      <c r="P16" s="21" t="s">
        <v>55</v>
      </c>
      <c r="Q16" s="21">
        <v>1.0</v>
      </c>
      <c r="R16" s="25"/>
      <c r="S16" s="28">
        <v>46236.0</v>
      </c>
      <c r="T16" s="25"/>
      <c r="U16" s="26"/>
      <c r="V16" s="21" t="s">
        <v>54</v>
      </c>
      <c r="W16" s="27"/>
      <c r="X16" s="21" t="s">
        <v>56</v>
      </c>
      <c r="Y16" s="21" t="s">
        <v>57</v>
      </c>
      <c r="Z16" s="21" t="s">
        <v>57</v>
      </c>
      <c r="AA16" s="28">
        <v>46268.0</v>
      </c>
      <c r="AB16" s="28">
        <v>46268.0</v>
      </c>
      <c r="AC16" s="30" t="s">
        <v>269</v>
      </c>
      <c r="AD16" s="57" t="s">
        <v>182</v>
      </c>
      <c r="AE16" s="58">
        <v>46268.0</v>
      </c>
      <c r="AF16" s="58">
        <v>46268.0</v>
      </c>
      <c r="AG16" s="28">
        <v>46269.0</v>
      </c>
      <c r="AH16" s="26"/>
      <c r="AI16" s="26"/>
    </row>
    <row r="17" ht="19.5" customHeight="1">
      <c r="A17" s="20">
        <v>16.0</v>
      </c>
      <c r="B17" s="20">
        <f t="shared" si="1"/>
        <v>16</v>
      </c>
      <c r="C17" s="21" t="s">
        <v>43</v>
      </c>
      <c r="D17" s="21" t="s">
        <v>92</v>
      </c>
      <c r="E17" s="21" t="s">
        <v>45</v>
      </c>
      <c r="F17" s="21" t="s">
        <v>47</v>
      </c>
      <c r="G17" s="21" t="s">
        <v>104</v>
      </c>
      <c r="H17" s="33" t="s">
        <v>105</v>
      </c>
      <c r="I17" s="21" t="s">
        <v>95</v>
      </c>
      <c r="J17" s="28">
        <v>46294.0</v>
      </c>
      <c r="K17" s="28">
        <v>46295.0</v>
      </c>
      <c r="L17" s="24"/>
      <c r="M17" s="24"/>
      <c r="N17" s="25"/>
      <c r="O17" s="21" t="s">
        <v>54</v>
      </c>
      <c r="P17" s="21" t="s">
        <v>55</v>
      </c>
      <c r="Q17" s="21">
        <v>1.0</v>
      </c>
      <c r="R17" s="25"/>
      <c r="S17" s="28">
        <v>46236.0</v>
      </c>
      <c r="T17" s="25"/>
      <c r="U17" s="26"/>
      <c r="V17" s="21" t="s">
        <v>54</v>
      </c>
      <c r="W17" s="27"/>
      <c r="X17" s="21" t="s">
        <v>56</v>
      </c>
      <c r="Y17" s="21" t="s">
        <v>57</v>
      </c>
      <c r="Z17" s="21" t="s">
        <v>57</v>
      </c>
      <c r="AA17" s="28">
        <v>46268.0</v>
      </c>
      <c r="AB17" s="28">
        <v>46268.0</v>
      </c>
      <c r="AC17" s="30" t="s">
        <v>346</v>
      </c>
      <c r="AD17" s="21" t="s">
        <v>152</v>
      </c>
      <c r="AE17" s="21" t="s">
        <v>347</v>
      </c>
      <c r="AF17" s="21" t="s">
        <v>347</v>
      </c>
      <c r="AG17" s="29"/>
      <c r="AH17" s="26"/>
      <c r="AI17" s="26"/>
    </row>
    <row r="18" ht="19.5" customHeight="1">
      <c r="A18" s="20">
        <v>17.0</v>
      </c>
      <c r="B18" s="20">
        <f t="shared" si="1"/>
        <v>17</v>
      </c>
      <c r="C18" s="21" t="s">
        <v>43</v>
      </c>
      <c r="D18" s="21" t="s">
        <v>92</v>
      </c>
      <c r="E18" s="21" t="s">
        <v>45</v>
      </c>
      <c r="F18" s="21" t="s">
        <v>47</v>
      </c>
      <c r="G18" s="21" t="s">
        <v>106</v>
      </c>
      <c r="H18" s="33" t="s">
        <v>107</v>
      </c>
      <c r="I18" s="21" t="s">
        <v>95</v>
      </c>
      <c r="J18" s="28">
        <v>46296.0</v>
      </c>
      <c r="K18" s="28">
        <v>46302.0</v>
      </c>
      <c r="L18" s="24"/>
      <c r="M18" s="24"/>
      <c r="N18" s="25"/>
      <c r="O18" s="21" t="s">
        <v>54</v>
      </c>
      <c r="P18" s="21" t="s">
        <v>55</v>
      </c>
      <c r="Q18" s="21">
        <v>1.0</v>
      </c>
      <c r="R18" s="25"/>
      <c r="S18" s="28">
        <v>46236.0</v>
      </c>
      <c r="T18" s="25"/>
      <c r="U18" s="26"/>
      <c r="V18" s="21" t="s">
        <v>54</v>
      </c>
      <c r="W18" s="27"/>
      <c r="X18" s="21" t="s">
        <v>56</v>
      </c>
      <c r="Y18" s="21" t="s">
        <v>57</v>
      </c>
      <c r="Z18" s="21" t="s">
        <v>57</v>
      </c>
      <c r="AA18" s="28">
        <v>46268.0</v>
      </c>
      <c r="AB18" s="28">
        <v>46268.0</v>
      </c>
      <c r="AC18" s="30" t="s">
        <v>346</v>
      </c>
      <c r="AD18" s="21" t="s">
        <v>151</v>
      </c>
      <c r="AE18" s="21" t="s">
        <v>364</v>
      </c>
      <c r="AF18" s="21" t="s">
        <v>364</v>
      </c>
      <c r="AG18" s="29"/>
      <c r="AH18" s="26"/>
      <c r="AI18" s="26"/>
    </row>
    <row r="19" ht="19.5" customHeight="1">
      <c r="A19" s="20">
        <v>18.0</v>
      </c>
      <c r="B19" s="20">
        <f t="shared" si="1"/>
        <v>18</v>
      </c>
      <c r="C19" s="21" t="s">
        <v>43</v>
      </c>
      <c r="D19" s="21" t="s">
        <v>92</v>
      </c>
      <c r="E19" s="21" t="s">
        <v>45</v>
      </c>
      <c r="F19" s="21" t="s">
        <v>47</v>
      </c>
      <c r="G19" s="21" t="s">
        <v>108</v>
      </c>
      <c r="H19" s="33" t="s">
        <v>109</v>
      </c>
      <c r="I19" s="21" t="s">
        <v>95</v>
      </c>
      <c r="J19" s="28">
        <v>46305.0</v>
      </c>
      <c r="K19" s="28">
        <v>46306.0</v>
      </c>
      <c r="L19" s="24"/>
      <c r="M19" s="24"/>
      <c r="N19" s="25"/>
      <c r="O19" s="21" t="s">
        <v>54</v>
      </c>
      <c r="P19" s="21" t="s">
        <v>76</v>
      </c>
      <c r="Q19" s="21">
        <v>1.0</v>
      </c>
      <c r="R19" s="25"/>
      <c r="S19" s="28">
        <v>46236.0</v>
      </c>
      <c r="T19" s="25"/>
      <c r="U19" s="26"/>
      <c r="V19" s="21" t="s">
        <v>54</v>
      </c>
      <c r="W19" s="27"/>
      <c r="X19" s="21" t="s">
        <v>56</v>
      </c>
      <c r="Y19" s="21" t="s">
        <v>57</v>
      </c>
      <c r="Z19" s="21" t="s">
        <v>57</v>
      </c>
      <c r="AA19" s="28">
        <v>46268.0</v>
      </c>
      <c r="AB19" s="28">
        <v>46268.0</v>
      </c>
      <c r="AC19" s="30" t="s">
        <v>346</v>
      </c>
      <c r="AD19" s="21" t="s">
        <v>151</v>
      </c>
      <c r="AE19" s="21" t="s">
        <v>364</v>
      </c>
      <c r="AF19" s="21" t="s">
        <v>364</v>
      </c>
      <c r="AG19" s="29"/>
      <c r="AH19" s="26"/>
      <c r="AI19" s="26"/>
    </row>
    <row r="20" ht="19.5" customHeight="1">
      <c r="A20" s="20">
        <v>19.0</v>
      </c>
      <c r="B20" s="20">
        <f t="shared" si="1"/>
        <v>19</v>
      </c>
      <c r="C20" s="21" t="s">
        <v>43</v>
      </c>
      <c r="D20" s="21" t="s">
        <v>92</v>
      </c>
      <c r="E20" s="21" t="s">
        <v>45</v>
      </c>
      <c r="F20" s="21" t="s">
        <v>47</v>
      </c>
      <c r="G20" s="21" t="s">
        <v>110</v>
      </c>
      <c r="H20" s="33" t="s">
        <v>111</v>
      </c>
      <c r="I20" s="21" t="s">
        <v>95</v>
      </c>
      <c r="J20" s="28">
        <v>46309.0</v>
      </c>
      <c r="K20" s="28">
        <v>46312.0</v>
      </c>
      <c r="L20" s="24"/>
      <c r="M20" s="24"/>
      <c r="N20" s="25"/>
      <c r="O20" s="21" t="s">
        <v>54</v>
      </c>
      <c r="P20" s="21" t="s">
        <v>76</v>
      </c>
      <c r="Q20" s="21">
        <v>1.0</v>
      </c>
      <c r="R20" s="25"/>
      <c r="S20" s="28">
        <v>46236.0</v>
      </c>
      <c r="T20" s="25"/>
      <c r="U20" s="26"/>
      <c r="V20" s="21" t="s">
        <v>54</v>
      </c>
      <c r="W20" s="27"/>
      <c r="X20" s="21" t="s">
        <v>56</v>
      </c>
      <c r="Y20" s="21" t="s">
        <v>57</v>
      </c>
      <c r="Z20" s="21" t="s">
        <v>57</v>
      </c>
      <c r="AA20" s="28">
        <v>46268.0</v>
      </c>
      <c r="AB20" s="28">
        <v>46268.0</v>
      </c>
      <c r="AC20" s="30" t="s">
        <v>346</v>
      </c>
      <c r="AD20" s="21" t="s">
        <v>151</v>
      </c>
      <c r="AE20" s="21" t="s">
        <v>364</v>
      </c>
      <c r="AF20" s="21" t="s">
        <v>364</v>
      </c>
      <c r="AG20" s="29"/>
      <c r="AH20" s="33" t="s">
        <v>222</v>
      </c>
      <c r="AI20" s="26"/>
    </row>
    <row r="21" ht="19.5" customHeight="1">
      <c r="A21" s="20">
        <v>20.0</v>
      </c>
      <c r="B21" s="20">
        <f t="shared" si="1"/>
        <v>20</v>
      </c>
      <c r="C21" s="21" t="s">
        <v>43</v>
      </c>
      <c r="D21" s="21" t="s">
        <v>92</v>
      </c>
      <c r="E21" s="21" t="s">
        <v>45</v>
      </c>
      <c r="F21" s="21" t="s">
        <v>47</v>
      </c>
      <c r="G21" s="21" t="s">
        <v>112</v>
      </c>
      <c r="H21" s="33" t="s">
        <v>113</v>
      </c>
      <c r="I21" s="21" t="s">
        <v>95</v>
      </c>
      <c r="J21" s="28">
        <v>46313.0</v>
      </c>
      <c r="K21" s="28">
        <v>46313.0</v>
      </c>
      <c r="L21" s="24"/>
      <c r="M21" s="24"/>
      <c r="N21" s="25"/>
      <c r="O21" s="21" t="s">
        <v>82</v>
      </c>
      <c r="P21" s="21" t="s">
        <v>85</v>
      </c>
      <c r="Q21" s="21">
        <v>1.0</v>
      </c>
      <c r="R21" s="25"/>
      <c r="S21" s="28">
        <v>46236.0</v>
      </c>
      <c r="T21" s="25"/>
      <c r="U21" s="26"/>
      <c r="V21" s="21" t="s">
        <v>54</v>
      </c>
      <c r="W21" s="27"/>
      <c r="X21" s="21" t="s">
        <v>56</v>
      </c>
      <c r="Y21" s="21" t="s">
        <v>57</v>
      </c>
      <c r="Z21" s="21" t="s">
        <v>57</v>
      </c>
      <c r="AA21" s="28">
        <v>46268.0</v>
      </c>
      <c r="AB21" s="29"/>
      <c r="AC21" s="30"/>
      <c r="AD21" s="25"/>
      <c r="AE21" s="29"/>
      <c r="AF21" s="29"/>
      <c r="AG21" s="29"/>
      <c r="AH21" s="26"/>
      <c r="AI21" s="26"/>
    </row>
    <row r="22" ht="19.5" customHeight="1">
      <c r="A22" s="20">
        <v>21.0</v>
      </c>
      <c r="B22" s="20">
        <f t="shared" si="1"/>
        <v>21</v>
      </c>
      <c r="C22" s="21" t="s">
        <v>43</v>
      </c>
      <c r="D22" s="21" t="s">
        <v>92</v>
      </c>
      <c r="E22" s="21" t="s">
        <v>45</v>
      </c>
      <c r="F22" s="21" t="s">
        <v>47</v>
      </c>
      <c r="G22" s="21" t="s">
        <v>114</v>
      </c>
      <c r="H22" s="33" t="s">
        <v>115</v>
      </c>
      <c r="I22" s="21" t="s">
        <v>95</v>
      </c>
      <c r="J22" s="28">
        <v>46316.0</v>
      </c>
      <c r="K22" s="28">
        <v>46320.0</v>
      </c>
      <c r="L22" s="24"/>
      <c r="M22" s="24"/>
      <c r="N22" s="25"/>
      <c r="O22" s="21" t="s">
        <v>54</v>
      </c>
      <c r="P22" s="21" t="s">
        <v>76</v>
      </c>
      <c r="Q22" s="21">
        <v>1.0</v>
      </c>
      <c r="R22" s="25"/>
      <c r="S22" s="28">
        <v>46236.0</v>
      </c>
      <c r="T22" s="25"/>
      <c r="U22" s="26"/>
      <c r="V22" s="21" t="s">
        <v>54</v>
      </c>
      <c r="W22" s="27"/>
      <c r="X22" s="21" t="s">
        <v>56</v>
      </c>
      <c r="Y22" s="21" t="s">
        <v>57</v>
      </c>
      <c r="Z22" s="21" t="s">
        <v>57</v>
      </c>
      <c r="AA22" s="28">
        <v>46268.0</v>
      </c>
      <c r="AB22" s="28">
        <v>46268.0</v>
      </c>
      <c r="AC22" s="30" t="s">
        <v>346</v>
      </c>
      <c r="AD22" s="21" t="s">
        <v>152</v>
      </c>
      <c r="AE22" s="21" t="s">
        <v>437</v>
      </c>
      <c r="AF22" s="21" t="s">
        <v>437</v>
      </c>
      <c r="AG22" s="29"/>
      <c r="AH22" s="26"/>
      <c r="AI22" s="26"/>
    </row>
    <row r="23" ht="19.5" customHeight="1">
      <c r="A23" s="20">
        <v>22.0</v>
      </c>
      <c r="B23" s="20">
        <f t="shared" si="1"/>
        <v>22</v>
      </c>
      <c r="C23" s="21" t="s">
        <v>43</v>
      </c>
      <c r="D23" s="21" t="s">
        <v>92</v>
      </c>
      <c r="E23" s="21" t="s">
        <v>45</v>
      </c>
      <c r="F23" s="21" t="s">
        <v>47</v>
      </c>
      <c r="G23" s="21" t="s">
        <v>121</v>
      </c>
      <c r="H23" s="33" t="s">
        <v>122</v>
      </c>
      <c r="I23" s="21" t="s">
        <v>123</v>
      </c>
      <c r="J23" s="28">
        <v>46267.0</v>
      </c>
      <c r="K23" s="28">
        <v>46278.0</v>
      </c>
      <c r="L23" s="24"/>
      <c r="M23" s="24"/>
      <c r="N23" s="25"/>
      <c r="O23" s="21" t="s">
        <v>54</v>
      </c>
      <c r="P23" s="21" t="s">
        <v>76</v>
      </c>
      <c r="Q23" s="21">
        <v>1.0</v>
      </c>
      <c r="R23" s="25"/>
      <c r="S23" s="28">
        <v>46236.0</v>
      </c>
      <c r="T23" s="25"/>
      <c r="U23" s="26"/>
      <c r="V23" s="21" t="s">
        <v>54</v>
      </c>
      <c r="W23" s="27"/>
      <c r="X23" s="21" t="s">
        <v>56</v>
      </c>
      <c r="Y23" s="21" t="s">
        <v>57</v>
      </c>
      <c r="Z23" s="21" t="s">
        <v>57</v>
      </c>
      <c r="AA23" s="28">
        <v>46268.0</v>
      </c>
      <c r="AB23" s="28">
        <v>46268.0</v>
      </c>
      <c r="AC23" s="30" t="s">
        <v>269</v>
      </c>
      <c r="AD23" s="21" t="s">
        <v>182</v>
      </c>
      <c r="AE23" s="28">
        <v>46268.0</v>
      </c>
      <c r="AF23" s="28">
        <v>46268.0</v>
      </c>
      <c r="AG23" s="28">
        <v>46269.0</v>
      </c>
      <c r="AH23" s="26"/>
      <c r="AI23" s="26"/>
    </row>
    <row r="24" ht="19.5" customHeight="1">
      <c r="A24" s="20">
        <v>23.0</v>
      </c>
      <c r="B24" s="20">
        <f t="shared" si="1"/>
        <v>23</v>
      </c>
      <c r="C24" s="21" t="s">
        <v>43</v>
      </c>
      <c r="D24" s="21" t="s">
        <v>92</v>
      </c>
      <c r="E24" s="21" t="s">
        <v>45</v>
      </c>
      <c r="F24" s="21" t="s">
        <v>47</v>
      </c>
      <c r="G24" s="21" t="s">
        <v>124</v>
      </c>
      <c r="H24" s="33" t="s">
        <v>125</v>
      </c>
      <c r="I24" s="21" t="s">
        <v>123</v>
      </c>
      <c r="J24" s="28">
        <v>46281.0</v>
      </c>
      <c r="K24" s="28">
        <v>46288.0</v>
      </c>
      <c r="L24" s="24"/>
      <c r="M24" s="24"/>
      <c r="N24" s="25"/>
      <c r="O24" s="21" t="s">
        <v>54</v>
      </c>
      <c r="P24" s="21" t="s">
        <v>76</v>
      </c>
      <c r="Q24" s="21">
        <v>1.0</v>
      </c>
      <c r="R24" s="25"/>
      <c r="S24" s="28">
        <v>46236.0</v>
      </c>
      <c r="T24" s="25"/>
      <c r="U24" s="26"/>
      <c r="V24" s="21" t="s">
        <v>54</v>
      </c>
      <c r="W24" s="27"/>
      <c r="X24" s="21" t="s">
        <v>56</v>
      </c>
      <c r="Y24" s="21" t="s">
        <v>57</v>
      </c>
      <c r="Z24" s="21" t="s">
        <v>57</v>
      </c>
      <c r="AA24" s="28">
        <v>46268.0</v>
      </c>
      <c r="AB24" s="28">
        <v>46268.0</v>
      </c>
      <c r="AC24" s="30" t="s">
        <v>480</v>
      </c>
      <c r="AD24" s="21" t="s">
        <v>151</v>
      </c>
      <c r="AE24" s="28">
        <v>46269.0</v>
      </c>
      <c r="AF24" s="21" t="s">
        <v>481</v>
      </c>
      <c r="AG24" s="29"/>
      <c r="AH24" s="22" t="s">
        <v>485</v>
      </c>
      <c r="AI24" s="26"/>
    </row>
    <row r="25" ht="19.5" customHeight="1">
      <c r="A25" s="20">
        <v>24.0</v>
      </c>
      <c r="B25" s="20">
        <f t="shared" si="1"/>
        <v>24</v>
      </c>
      <c r="C25" s="21" t="s">
        <v>43</v>
      </c>
      <c r="D25" s="21" t="s">
        <v>92</v>
      </c>
      <c r="E25" s="21" t="s">
        <v>45</v>
      </c>
      <c r="F25" s="21" t="s">
        <v>47</v>
      </c>
      <c r="G25" s="21" t="s">
        <v>126</v>
      </c>
      <c r="H25" s="33" t="s">
        <v>127</v>
      </c>
      <c r="I25" s="21" t="s">
        <v>123</v>
      </c>
      <c r="J25" s="28">
        <v>46299.0</v>
      </c>
      <c r="K25" s="28">
        <v>46310.0</v>
      </c>
      <c r="L25" s="24"/>
      <c r="M25" s="24"/>
      <c r="N25" s="25"/>
      <c r="O25" s="21" t="s">
        <v>54</v>
      </c>
      <c r="P25" s="21" t="s">
        <v>55</v>
      </c>
      <c r="Q25" s="21">
        <v>1.0</v>
      </c>
      <c r="R25" s="25"/>
      <c r="S25" s="28">
        <v>46236.0</v>
      </c>
      <c r="T25" s="25"/>
      <c r="U25" s="26"/>
      <c r="V25" s="21" t="s">
        <v>54</v>
      </c>
      <c r="W25" s="27"/>
      <c r="X25" s="21" t="s">
        <v>56</v>
      </c>
      <c r="Y25" s="21" t="s">
        <v>57</v>
      </c>
      <c r="Z25" s="21" t="s">
        <v>57</v>
      </c>
      <c r="AA25" s="28">
        <v>46268.0</v>
      </c>
      <c r="AB25" s="28">
        <v>46268.0</v>
      </c>
      <c r="AC25" s="30" t="s">
        <v>346</v>
      </c>
      <c r="AD25" s="21" t="s">
        <v>151</v>
      </c>
      <c r="AE25" s="21" t="s">
        <v>364</v>
      </c>
      <c r="AF25" s="21" t="s">
        <v>364</v>
      </c>
      <c r="AG25" s="29"/>
      <c r="AH25" s="33" t="s">
        <v>222</v>
      </c>
      <c r="AI25" s="26"/>
    </row>
    <row r="26" ht="19.5" customHeight="1">
      <c r="A26" s="20">
        <v>25.0</v>
      </c>
      <c r="B26" s="20">
        <f t="shared" si="1"/>
        <v>25</v>
      </c>
      <c r="C26" s="21" t="s">
        <v>43</v>
      </c>
      <c r="D26" s="21" t="s">
        <v>92</v>
      </c>
      <c r="E26" s="21" t="s">
        <v>45</v>
      </c>
      <c r="F26" s="21" t="s">
        <v>47</v>
      </c>
      <c r="G26" s="21" t="s">
        <v>128</v>
      </c>
      <c r="H26" s="33" t="s">
        <v>129</v>
      </c>
      <c r="I26" s="21" t="s">
        <v>123</v>
      </c>
      <c r="J26" s="28">
        <v>46311.0</v>
      </c>
      <c r="K26" s="28">
        <v>46317.0</v>
      </c>
      <c r="L26" s="24"/>
      <c r="M26" s="24"/>
      <c r="N26" s="25"/>
      <c r="O26" s="21" t="s">
        <v>54</v>
      </c>
      <c r="P26" s="21" t="s">
        <v>76</v>
      </c>
      <c r="Q26" s="21">
        <v>1.0</v>
      </c>
      <c r="R26" s="25"/>
      <c r="S26" s="28">
        <v>46236.0</v>
      </c>
      <c r="T26" s="25"/>
      <c r="U26" s="26"/>
      <c r="V26" s="21" t="s">
        <v>54</v>
      </c>
      <c r="W26" s="27"/>
      <c r="X26" s="21" t="s">
        <v>56</v>
      </c>
      <c r="Y26" s="21" t="s">
        <v>57</v>
      </c>
      <c r="Z26" s="21" t="s">
        <v>57</v>
      </c>
      <c r="AA26" s="28">
        <v>46268.0</v>
      </c>
      <c r="AB26" s="28">
        <v>46268.0</v>
      </c>
      <c r="AC26" s="30" t="s">
        <v>346</v>
      </c>
      <c r="AD26" s="21" t="s">
        <v>152</v>
      </c>
      <c r="AE26" s="21" t="s">
        <v>437</v>
      </c>
      <c r="AF26" s="21" t="s">
        <v>437</v>
      </c>
      <c r="AG26" s="29"/>
      <c r="AH26" s="33" t="s">
        <v>222</v>
      </c>
      <c r="AI26" s="26"/>
    </row>
    <row r="27" ht="19.5" customHeight="1">
      <c r="A27" s="20">
        <v>26.0</v>
      </c>
      <c r="B27" s="20">
        <f t="shared" si="1"/>
        <v>26</v>
      </c>
      <c r="C27" s="21" t="s">
        <v>43</v>
      </c>
      <c r="D27" s="21" t="s">
        <v>92</v>
      </c>
      <c r="E27" s="21" t="s">
        <v>45</v>
      </c>
      <c r="F27" s="21" t="s">
        <v>47</v>
      </c>
      <c r="G27" s="21" t="s">
        <v>130</v>
      </c>
      <c r="H27" s="33" t="s">
        <v>131</v>
      </c>
      <c r="I27" s="21" t="s">
        <v>123</v>
      </c>
      <c r="J27" s="28">
        <v>46318.0</v>
      </c>
      <c r="K27" s="28">
        <v>46320.0</v>
      </c>
      <c r="L27" s="24"/>
      <c r="M27" s="24"/>
      <c r="N27" s="25"/>
      <c r="O27" s="21" t="s">
        <v>54</v>
      </c>
      <c r="P27" s="21" t="s">
        <v>76</v>
      </c>
      <c r="Q27" s="21">
        <v>1.0</v>
      </c>
      <c r="R27" s="25"/>
      <c r="S27" s="28">
        <v>46236.0</v>
      </c>
      <c r="T27" s="25"/>
      <c r="U27" s="26"/>
      <c r="V27" s="21" t="s">
        <v>54</v>
      </c>
      <c r="W27" s="27"/>
      <c r="X27" s="21" t="s">
        <v>56</v>
      </c>
      <c r="Y27" s="21" t="s">
        <v>57</v>
      </c>
      <c r="Z27" s="21" t="s">
        <v>57</v>
      </c>
      <c r="AA27" s="28">
        <v>46268.0</v>
      </c>
      <c r="AB27" s="28">
        <v>46268.0</v>
      </c>
      <c r="AC27" s="30" t="s">
        <v>346</v>
      </c>
      <c r="AD27" s="21" t="s">
        <v>151</v>
      </c>
      <c r="AE27" s="21" t="s">
        <v>437</v>
      </c>
      <c r="AF27" s="21" t="s">
        <v>437</v>
      </c>
      <c r="AG27" s="29"/>
      <c r="AH27" s="33" t="s">
        <v>222</v>
      </c>
      <c r="AI27" s="26"/>
    </row>
    <row r="28" ht="19.5" customHeight="1">
      <c r="A28" s="20">
        <v>27.0</v>
      </c>
      <c r="B28" s="20">
        <f t="shared" si="1"/>
        <v>27</v>
      </c>
      <c r="C28" s="21" t="s">
        <v>43</v>
      </c>
      <c r="D28" s="21" t="s">
        <v>92</v>
      </c>
      <c r="E28" s="21" t="s">
        <v>45</v>
      </c>
      <c r="F28" s="21" t="s">
        <v>47</v>
      </c>
      <c r="G28" s="21" t="s">
        <v>132</v>
      </c>
      <c r="H28" s="33" t="s">
        <v>133</v>
      </c>
      <c r="I28" s="21" t="s">
        <v>123</v>
      </c>
      <c r="J28" s="28">
        <v>46323.0</v>
      </c>
      <c r="K28" s="28">
        <v>46323.0</v>
      </c>
      <c r="L28" s="24"/>
      <c r="M28" s="24"/>
      <c r="N28" s="25"/>
      <c r="O28" s="21" t="s">
        <v>54</v>
      </c>
      <c r="P28" s="21" t="s">
        <v>85</v>
      </c>
      <c r="Q28" s="21">
        <v>1.0</v>
      </c>
      <c r="R28" s="25"/>
      <c r="S28" s="28">
        <v>46236.0</v>
      </c>
      <c r="T28" s="25"/>
      <c r="U28" s="26"/>
      <c r="V28" s="21" t="s">
        <v>54</v>
      </c>
      <c r="W28" s="27"/>
      <c r="X28" s="21" t="s">
        <v>56</v>
      </c>
      <c r="Y28" s="21" t="s">
        <v>57</v>
      </c>
      <c r="Z28" s="21" t="s">
        <v>57</v>
      </c>
      <c r="AA28" s="28">
        <v>46268.0</v>
      </c>
      <c r="AB28" s="28">
        <v>46268.0</v>
      </c>
      <c r="AC28" s="30" t="s">
        <v>346</v>
      </c>
      <c r="AD28" s="21" t="s">
        <v>152</v>
      </c>
      <c r="AE28" s="21" t="s">
        <v>574</v>
      </c>
      <c r="AF28" s="21" t="s">
        <v>574</v>
      </c>
      <c r="AG28" s="29"/>
      <c r="AH28" s="33" t="s">
        <v>222</v>
      </c>
      <c r="AI28" s="26"/>
    </row>
    <row r="29" ht="19.5" customHeight="1">
      <c r="A29" s="20">
        <v>28.0</v>
      </c>
      <c r="B29" s="20">
        <f t="shared" si="1"/>
        <v>28</v>
      </c>
      <c r="C29" s="21" t="s">
        <v>43</v>
      </c>
      <c r="D29" s="21" t="s">
        <v>92</v>
      </c>
      <c r="E29" s="21" t="s">
        <v>45</v>
      </c>
      <c r="F29" s="21" t="s">
        <v>47</v>
      </c>
      <c r="G29" s="21" t="s">
        <v>134</v>
      </c>
      <c r="H29" s="33" t="s">
        <v>135</v>
      </c>
      <c r="I29" s="21" t="s">
        <v>123</v>
      </c>
      <c r="J29" s="28">
        <v>46324.0</v>
      </c>
      <c r="K29" s="28">
        <v>46326.0</v>
      </c>
      <c r="L29" s="24"/>
      <c r="M29" s="24"/>
      <c r="N29" s="25"/>
      <c r="O29" s="21" t="s">
        <v>54</v>
      </c>
      <c r="P29" s="21" t="s">
        <v>76</v>
      </c>
      <c r="Q29" s="21">
        <v>1.0</v>
      </c>
      <c r="R29" s="25"/>
      <c r="S29" s="28">
        <v>46236.0</v>
      </c>
      <c r="T29" s="25"/>
      <c r="U29" s="26"/>
      <c r="V29" s="21" t="s">
        <v>54</v>
      </c>
      <c r="W29" s="27"/>
      <c r="X29" s="21" t="s">
        <v>56</v>
      </c>
      <c r="Y29" s="21" t="s">
        <v>57</v>
      </c>
      <c r="Z29" s="21" t="s">
        <v>57</v>
      </c>
      <c r="AA29" s="28">
        <v>46268.0</v>
      </c>
      <c r="AB29" s="28">
        <v>46268.0</v>
      </c>
      <c r="AC29" s="30" t="s">
        <v>346</v>
      </c>
      <c r="AD29" s="21" t="s">
        <v>151</v>
      </c>
      <c r="AE29" s="21" t="s">
        <v>574</v>
      </c>
      <c r="AF29" s="21" t="s">
        <v>574</v>
      </c>
      <c r="AG29" s="29"/>
      <c r="AH29" s="33" t="s">
        <v>222</v>
      </c>
      <c r="AI29" s="26"/>
    </row>
    <row r="30" ht="19.5" customHeight="1">
      <c r="A30" s="20">
        <v>29.0</v>
      </c>
      <c r="B30" s="20">
        <f t="shared" si="1"/>
        <v>29</v>
      </c>
      <c r="C30" s="21" t="s">
        <v>43</v>
      </c>
      <c r="D30" s="21" t="s">
        <v>92</v>
      </c>
      <c r="E30" s="21" t="s">
        <v>45</v>
      </c>
      <c r="F30" s="21" t="s">
        <v>47</v>
      </c>
      <c r="G30" s="21" t="s">
        <v>136</v>
      </c>
      <c r="H30" s="33" t="s">
        <v>137</v>
      </c>
      <c r="I30" s="21" t="s">
        <v>53</v>
      </c>
      <c r="J30" s="28">
        <v>46348.0</v>
      </c>
      <c r="K30" s="28">
        <v>46355.0</v>
      </c>
      <c r="L30" s="24"/>
      <c r="M30" s="24"/>
      <c r="N30" s="25"/>
      <c r="O30" s="21" t="s">
        <v>54</v>
      </c>
      <c r="P30" s="21" t="s">
        <v>55</v>
      </c>
      <c r="Q30" s="21">
        <v>1.0</v>
      </c>
      <c r="R30" s="25"/>
      <c r="S30" s="28">
        <v>46236.0</v>
      </c>
      <c r="T30" s="25"/>
      <c r="U30" s="26"/>
      <c r="V30" s="21" t="s">
        <v>54</v>
      </c>
      <c r="W30" s="27"/>
      <c r="X30" s="21" t="s">
        <v>56</v>
      </c>
      <c r="Y30" s="21" t="s">
        <v>57</v>
      </c>
      <c r="Z30" s="21" t="s">
        <v>57</v>
      </c>
      <c r="AA30" s="28">
        <v>46268.0</v>
      </c>
      <c r="AB30" s="28">
        <v>46268.0</v>
      </c>
      <c r="AC30" s="30" t="s">
        <v>346</v>
      </c>
      <c r="AD30" s="21" t="s">
        <v>151</v>
      </c>
      <c r="AE30" s="29"/>
      <c r="AF30" s="29"/>
      <c r="AG30" s="29"/>
      <c r="AH30" s="26"/>
      <c r="AI30" s="26"/>
    </row>
    <row r="31" ht="19.5" customHeight="1">
      <c r="A31" s="20">
        <v>30.0</v>
      </c>
      <c r="B31" s="20">
        <f t="shared" si="1"/>
        <v>30</v>
      </c>
      <c r="C31" s="21" t="s">
        <v>43</v>
      </c>
      <c r="D31" s="21" t="s">
        <v>92</v>
      </c>
      <c r="E31" s="21" t="s">
        <v>45</v>
      </c>
      <c r="F31" s="21" t="s">
        <v>47</v>
      </c>
      <c r="G31" s="21" t="s">
        <v>139</v>
      </c>
      <c r="H31" s="33" t="s">
        <v>140</v>
      </c>
      <c r="I31" s="21" t="s">
        <v>123</v>
      </c>
      <c r="J31" s="28">
        <v>46327.0</v>
      </c>
      <c r="K31" s="28">
        <v>46332.0</v>
      </c>
      <c r="L31" s="24"/>
      <c r="M31" s="24"/>
      <c r="N31" s="25"/>
      <c r="O31" s="21" t="s">
        <v>54</v>
      </c>
      <c r="P31" s="21" t="s">
        <v>55</v>
      </c>
      <c r="Q31" s="21">
        <v>1.0</v>
      </c>
      <c r="R31" s="25"/>
      <c r="S31" s="28">
        <v>46236.0</v>
      </c>
      <c r="T31" s="25"/>
      <c r="U31" s="26"/>
      <c r="V31" s="21" t="s">
        <v>54</v>
      </c>
      <c r="W31" s="27"/>
      <c r="X31" s="21" t="s">
        <v>56</v>
      </c>
      <c r="Y31" s="21" t="s">
        <v>57</v>
      </c>
      <c r="Z31" s="21" t="s">
        <v>57</v>
      </c>
      <c r="AA31" s="28">
        <v>46268.0</v>
      </c>
      <c r="AB31" s="28">
        <v>46268.0</v>
      </c>
      <c r="AC31" s="30" t="s">
        <v>346</v>
      </c>
      <c r="AD31" s="21" t="s">
        <v>152</v>
      </c>
      <c r="AE31" s="29"/>
      <c r="AF31" s="29"/>
      <c r="AG31" s="29"/>
      <c r="AH31" s="33" t="s">
        <v>222</v>
      </c>
      <c r="AI31" s="26"/>
    </row>
    <row r="32" ht="19.5" customHeight="1">
      <c r="A32" s="20">
        <v>31.0</v>
      </c>
      <c r="B32" s="20">
        <f t="shared" si="1"/>
        <v>31</v>
      </c>
      <c r="C32" s="21" t="s">
        <v>43</v>
      </c>
      <c r="D32" s="21" t="s">
        <v>92</v>
      </c>
      <c r="E32" s="21" t="s">
        <v>45</v>
      </c>
      <c r="F32" s="21" t="s">
        <v>47</v>
      </c>
      <c r="G32" s="21" t="s">
        <v>144</v>
      </c>
      <c r="H32" s="33" t="s">
        <v>145</v>
      </c>
      <c r="I32" s="21" t="s">
        <v>123</v>
      </c>
      <c r="J32" s="28">
        <v>46333.0</v>
      </c>
      <c r="K32" s="28">
        <v>46334.0</v>
      </c>
      <c r="L32" s="24"/>
      <c r="M32" s="24"/>
      <c r="N32" s="25"/>
      <c r="O32" s="21" t="s">
        <v>82</v>
      </c>
      <c r="P32" s="21" t="s">
        <v>85</v>
      </c>
      <c r="Q32" s="21">
        <v>1.0</v>
      </c>
      <c r="R32" s="25"/>
      <c r="S32" s="28">
        <v>46236.0</v>
      </c>
      <c r="T32" s="25"/>
      <c r="U32" s="26"/>
      <c r="V32" s="21" t="s">
        <v>54</v>
      </c>
      <c r="W32" s="27"/>
      <c r="X32" s="21" t="s">
        <v>56</v>
      </c>
      <c r="Y32" s="21" t="s">
        <v>57</v>
      </c>
      <c r="Z32" s="21" t="s">
        <v>57</v>
      </c>
      <c r="AA32" s="29"/>
      <c r="AB32" s="29"/>
      <c r="AC32" s="30"/>
      <c r="AD32" s="25"/>
      <c r="AE32" s="29"/>
      <c r="AF32" s="29"/>
      <c r="AG32" s="29"/>
      <c r="AH32" s="26"/>
      <c r="AI32" s="26"/>
    </row>
    <row r="33" ht="19.5" customHeight="1">
      <c r="A33" s="20">
        <v>32.0</v>
      </c>
      <c r="B33" s="20">
        <f t="shared" si="1"/>
        <v>32</v>
      </c>
      <c r="C33" s="21" t="s">
        <v>43</v>
      </c>
      <c r="D33" s="21" t="s">
        <v>92</v>
      </c>
      <c r="E33" s="21" t="s">
        <v>45</v>
      </c>
      <c r="F33" s="21" t="s">
        <v>47</v>
      </c>
      <c r="G33" s="21" t="s">
        <v>147</v>
      </c>
      <c r="H33" s="33" t="s">
        <v>148</v>
      </c>
      <c r="I33" s="21" t="s">
        <v>123</v>
      </c>
      <c r="J33" s="28">
        <v>46337.0</v>
      </c>
      <c r="K33" s="28">
        <v>46341.0</v>
      </c>
      <c r="L33" s="24"/>
      <c r="M33" s="24"/>
      <c r="N33" s="25"/>
      <c r="O33" s="21" t="s">
        <v>54</v>
      </c>
      <c r="P33" s="21" t="s">
        <v>55</v>
      </c>
      <c r="Q33" s="21">
        <v>1.0</v>
      </c>
      <c r="R33" s="25"/>
      <c r="S33" s="28">
        <v>46236.0</v>
      </c>
      <c r="T33" s="25"/>
      <c r="U33" s="26"/>
      <c r="V33" s="21" t="s">
        <v>54</v>
      </c>
      <c r="W33" s="27"/>
      <c r="X33" s="21" t="s">
        <v>56</v>
      </c>
      <c r="Y33" s="21" t="s">
        <v>57</v>
      </c>
      <c r="Z33" s="21" t="s">
        <v>57</v>
      </c>
      <c r="AA33" s="28">
        <v>46268.0</v>
      </c>
      <c r="AB33" s="28">
        <v>46268.0</v>
      </c>
      <c r="AC33" s="30" t="s">
        <v>346</v>
      </c>
      <c r="AD33" s="21" t="s">
        <v>152</v>
      </c>
      <c r="AE33" s="29"/>
      <c r="AF33" s="29"/>
      <c r="AG33" s="29"/>
      <c r="AH33" s="33" t="s">
        <v>222</v>
      </c>
      <c r="AI33" s="26"/>
    </row>
    <row r="34" ht="19.5" customHeight="1">
      <c r="A34" s="20">
        <v>33.0</v>
      </c>
      <c r="B34" s="20">
        <f t="shared" si="1"/>
        <v>33</v>
      </c>
      <c r="C34" s="21" t="s">
        <v>43</v>
      </c>
      <c r="D34" s="21" t="s">
        <v>92</v>
      </c>
      <c r="E34" s="21" t="s">
        <v>45</v>
      </c>
      <c r="F34" s="21" t="s">
        <v>47</v>
      </c>
      <c r="G34" s="21" t="s">
        <v>149</v>
      </c>
      <c r="H34" s="33" t="s">
        <v>150</v>
      </c>
      <c r="I34" s="21" t="s">
        <v>95</v>
      </c>
      <c r="J34" s="28">
        <v>46323.0</v>
      </c>
      <c r="K34" s="28">
        <v>46325.0</v>
      </c>
      <c r="L34" s="24"/>
      <c r="M34" s="24"/>
      <c r="N34" s="25"/>
      <c r="O34" s="21" t="s">
        <v>54</v>
      </c>
      <c r="P34" s="21" t="s">
        <v>76</v>
      </c>
      <c r="Q34" s="21">
        <v>1.0</v>
      </c>
      <c r="R34" s="25"/>
      <c r="S34" s="28">
        <v>46236.0</v>
      </c>
      <c r="T34" s="25"/>
      <c r="U34" s="26"/>
      <c r="V34" s="21" t="s">
        <v>54</v>
      </c>
      <c r="W34" s="27"/>
      <c r="X34" s="21" t="s">
        <v>56</v>
      </c>
      <c r="Y34" s="21" t="s">
        <v>57</v>
      </c>
      <c r="Z34" s="21" t="s">
        <v>57</v>
      </c>
      <c r="AA34" s="28">
        <v>46268.0</v>
      </c>
      <c r="AB34" s="28">
        <v>46268.0</v>
      </c>
      <c r="AC34" s="30" t="s">
        <v>346</v>
      </c>
      <c r="AD34" s="21" t="s">
        <v>152</v>
      </c>
      <c r="AE34" s="21" t="s">
        <v>574</v>
      </c>
      <c r="AF34" s="21" t="s">
        <v>574</v>
      </c>
      <c r="AG34" s="29"/>
      <c r="AH34" s="26"/>
      <c r="AI34" s="26"/>
    </row>
    <row r="35" ht="19.5" customHeight="1">
      <c r="A35" s="20">
        <v>34.0</v>
      </c>
      <c r="B35" s="20">
        <f t="shared" si="1"/>
        <v>34</v>
      </c>
      <c r="C35" s="21" t="s">
        <v>43</v>
      </c>
      <c r="D35" s="21" t="s">
        <v>92</v>
      </c>
      <c r="E35" s="21" t="s">
        <v>45</v>
      </c>
      <c r="F35" s="21" t="s">
        <v>47</v>
      </c>
      <c r="G35" s="21" t="s">
        <v>153</v>
      </c>
      <c r="H35" s="33" t="s">
        <v>154</v>
      </c>
      <c r="I35" s="21" t="s">
        <v>95</v>
      </c>
      <c r="J35" s="28">
        <v>46326.0</v>
      </c>
      <c r="K35" s="28">
        <v>46332.0</v>
      </c>
      <c r="L35" s="24"/>
      <c r="M35" s="24"/>
      <c r="N35" s="25"/>
      <c r="O35" s="21" t="s">
        <v>54</v>
      </c>
      <c r="P35" s="21" t="s">
        <v>76</v>
      </c>
      <c r="Q35" s="21">
        <v>1.0</v>
      </c>
      <c r="R35" s="25"/>
      <c r="S35" s="28">
        <v>46236.0</v>
      </c>
      <c r="T35" s="25"/>
      <c r="U35" s="26"/>
      <c r="V35" s="21" t="s">
        <v>54</v>
      </c>
      <c r="W35" s="27"/>
      <c r="X35" s="21" t="s">
        <v>56</v>
      </c>
      <c r="Y35" s="21" t="s">
        <v>57</v>
      </c>
      <c r="Z35" s="21" t="s">
        <v>57</v>
      </c>
      <c r="AA35" s="28">
        <v>46268.0</v>
      </c>
      <c r="AB35" s="28">
        <v>46268.0</v>
      </c>
      <c r="AC35" s="30" t="s">
        <v>346</v>
      </c>
      <c r="AD35" s="21" t="s">
        <v>152</v>
      </c>
      <c r="AE35" s="21" t="s">
        <v>574</v>
      </c>
      <c r="AF35" s="21" t="s">
        <v>574</v>
      </c>
      <c r="AG35" s="29"/>
      <c r="AH35" s="26"/>
      <c r="AI35" s="26"/>
    </row>
    <row r="36" ht="19.5" customHeight="1">
      <c r="A36" s="20">
        <v>35.0</v>
      </c>
      <c r="B36" s="20">
        <f t="shared" si="1"/>
        <v>35</v>
      </c>
      <c r="C36" s="21" t="s">
        <v>43</v>
      </c>
      <c r="D36" s="21" t="s">
        <v>92</v>
      </c>
      <c r="E36" s="21" t="s">
        <v>45</v>
      </c>
      <c r="F36" s="21" t="s">
        <v>47</v>
      </c>
      <c r="G36" s="21" t="s">
        <v>155</v>
      </c>
      <c r="H36" s="33" t="s">
        <v>156</v>
      </c>
      <c r="I36" s="21" t="s">
        <v>95</v>
      </c>
      <c r="J36" s="28">
        <v>46333.0</v>
      </c>
      <c r="K36" s="28">
        <v>46334.0</v>
      </c>
      <c r="L36" s="24"/>
      <c r="M36" s="24"/>
      <c r="N36" s="25"/>
      <c r="O36" s="21" t="s">
        <v>54</v>
      </c>
      <c r="P36" s="21" t="s">
        <v>76</v>
      </c>
      <c r="Q36" s="21">
        <v>1.0</v>
      </c>
      <c r="R36" s="25"/>
      <c r="S36" s="28">
        <v>46236.0</v>
      </c>
      <c r="T36" s="25"/>
      <c r="U36" s="26"/>
      <c r="V36" s="21" t="s">
        <v>54</v>
      </c>
      <c r="W36" s="27"/>
      <c r="X36" s="21" t="s">
        <v>56</v>
      </c>
      <c r="Y36" s="21" t="s">
        <v>57</v>
      </c>
      <c r="Z36" s="21" t="s">
        <v>57</v>
      </c>
      <c r="AA36" s="28">
        <v>46268.0</v>
      </c>
      <c r="AB36" s="28">
        <v>46268.0</v>
      </c>
      <c r="AC36" s="30" t="s">
        <v>346</v>
      </c>
      <c r="AD36" s="21" t="s">
        <v>151</v>
      </c>
      <c r="AE36" s="29"/>
      <c r="AF36" s="29"/>
      <c r="AG36" s="29"/>
      <c r="AH36" s="26"/>
      <c r="AI36" s="26"/>
    </row>
    <row r="37" ht="19.5" customHeight="1">
      <c r="A37" s="20">
        <v>36.0</v>
      </c>
      <c r="B37" s="20">
        <f t="shared" si="1"/>
        <v>36</v>
      </c>
      <c r="C37" s="21" t="s">
        <v>43</v>
      </c>
      <c r="D37" s="21" t="s">
        <v>92</v>
      </c>
      <c r="E37" s="21" t="s">
        <v>45</v>
      </c>
      <c r="F37" s="21" t="s">
        <v>47</v>
      </c>
      <c r="G37" s="21" t="s">
        <v>157</v>
      </c>
      <c r="H37" s="33" t="s">
        <v>158</v>
      </c>
      <c r="I37" s="21" t="s">
        <v>95</v>
      </c>
      <c r="J37" s="28">
        <v>46337.0</v>
      </c>
      <c r="K37" s="28">
        <v>46340.0</v>
      </c>
      <c r="L37" s="24"/>
      <c r="M37" s="24"/>
      <c r="N37" s="25"/>
      <c r="O37" s="21" t="s">
        <v>54</v>
      </c>
      <c r="P37" s="21" t="s">
        <v>76</v>
      </c>
      <c r="Q37" s="21">
        <v>1.0</v>
      </c>
      <c r="R37" s="25"/>
      <c r="S37" s="28">
        <v>46236.0</v>
      </c>
      <c r="T37" s="25"/>
      <c r="U37" s="26"/>
      <c r="V37" s="21" t="s">
        <v>54</v>
      </c>
      <c r="W37" s="27"/>
      <c r="X37" s="21" t="s">
        <v>56</v>
      </c>
      <c r="Y37" s="21" t="s">
        <v>57</v>
      </c>
      <c r="Z37" s="21" t="s">
        <v>57</v>
      </c>
      <c r="AA37" s="28">
        <v>46268.0</v>
      </c>
      <c r="AB37" s="28">
        <v>46268.0</v>
      </c>
      <c r="AC37" s="30" t="s">
        <v>346</v>
      </c>
      <c r="AD37" s="21" t="s">
        <v>152</v>
      </c>
      <c r="AE37" s="29"/>
      <c r="AF37" s="29"/>
      <c r="AG37" s="29"/>
      <c r="AH37" s="26"/>
      <c r="AI37" s="26"/>
    </row>
    <row r="38" ht="19.5" customHeight="1">
      <c r="A38" s="20">
        <v>37.0</v>
      </c>
      <c r="B38" s="20">
        <f t="shared" si="1"/>
        <v>37</v>
      </c>
      <c r="C38" s="21" t="s">
        <v>43</v>
      </c>
      <c r="D38" s="21" t="s">
        <v>92</v>
      </c>
      <c r="E38" s="21" t="s">
        <v>45</v>
      </c>
      <c r="F38" s="21" t="s">
        <v>47</v>
      </c>
      <c r="G38" s="21" t="s">
        <v>159</v>
      </c>
      <c r="H38" s="33" t="s">
        <v>160</v>
      </c>
      <c r="I38" s="21" t="s">
        <v>95</v>
      </c>
      <c r="J38" s="28">
        <v>46337.0</v>
      </c>
      <c r="K38" s="28">
        <v>46340.0</v>
      </c>
      <c r="L38" s="24"/>
      <c r="M38" s="24"/>
      <c r="N38" s="25"/>
      <c r="O38" s="21" t="s">
        <v>54</v>
      </c>
      <c r="P38" s="21" t="s">
        <v>76</v>
      </c>
      <c r="Q38" s="21">
        <v>1.0</v>
      </c>
      <c r="R38" s="25"/>
      <c r="S38" s="28">
        <v>46236.0</v>
      </c>
      <c r="T38" s="25"/>
      <c r="U38" s="26"/>
      <c r="V38" s="21" t="s">
        <v>54</v>
      </c>
      <c r="W38" s="27"/>
      <c r="X38" s="21" t="s">
        <v>56</v>
      </c>
      <c r="Y38" s="21" t="s">
        <v>57</v>
      </c>
      <c r="Z38" s="21" t="s">
        <v>57</v>
      </c>
      <c r="AA38" s="28">
        <v>46268.0</v>
      </c>
      <c r="AB38" s="28">
        <v>46268.0</v>
      </c>
      <c r="AC38" s="30" t="s">
        <v>346</v>
      </c>
      <c r="AD38" s="21" t="s">
        <v>152</v>
      </c>
      <c r="AE38" s="29"/>
      <c r="AF38" s="29"/>
      <c r="AG38" s="29"/>
      <c r="AH38" s="26"/>
      <c r="AI38" s="26"/>
    </row>
    <row r="39" ht="19.5" customHeight="1">
      <c r="A39" s="20">
        <v>38.0</v>
      </c>
      <c r="B39" s="20">
        <f t="shared" si="1"/>
        <v>38</v>
      </c>
      <c r="C39" s="21" t="s">
        <v>43</v>
      </c>
      <c r="D39" s="21" t="s">
        <v>92</v>
      </c>
      <c r="E39" s="21" t="s">
        <v>45</v>
      </c>
      <c r="F39" s="21" t="s">
        <v>47</v>
      </c>
      <c r="G39" s="21" t="s">
        <v>161</v>
      </c>
      <c r="H39" s="33" t="s">
        <v>359</v>
      </c>
      <c r="I39" s="21" t="s">
        <v>95</v>
      </c>
      <c r="J39" s="28">
        <v>46337.0</v>
      </c>
      <c r="K39" s="28">
        <v>46340.0</v>
      </c>
      <c r="L39" s="24"/>
      <c r="M39" s="24"/>
      <c r="N39" s="25"/>
      <c r="O39" s="21" t="s">
        <v>54</v>
      </c>
      <c r="P39" s="21" t="s">
        <v>76</v>
      </c>
      <c r="Q39" s="21">
        <v>1.0</v>
      </c>
      <c r="R39" s="25"/>
      <c r="S39" s="28">
        <v>46236.0</v>
      </c>
      <c r="T39" s="25"/>
      <c r="U39" s="26"/>
      <c r="V39" s="21" t="s">
        <v>54</v>
      </c>
      <c r="W39" s="27"/>
      <c r="X39" s="21" t="s">
        <v>56</v>
      </c>
      <c r="Y39" s="21" t="s">
        <v>57</v>
      </c>
      <c r="Z39" s="21" t="s">
        <v>57</v>
      </c>
      <c r="AA39" s="28">
        <v>46268.0</v>
      </c>
      <c r="AB39" s="28">
        <v>46268.0</v>
      </c>
      <c r="AC39" s="30" t="s">
        <v>346</v>
      </c>
      <c r="AD39" s="21" t="s">
        <v>152</v>
      </c>
      <c r="AE39" s="29"/>
      <c r="AF39" s="29"/>
      <c r="AG39" s="29"/>
      <c r="AH39" s="26"/>
      <c r="AI39" s="26"/>
    </row>
    <row r="40" ht="19.5" customHeight="1">
      <c r="A40" s="20">
        <v>39.0</v>
      </c>
      <c r="B40" s="20">
        <f t="shared" si="1"/>
        <v>39</v>
      </c>
      <c r="C40" s="21" t="s">
        <v>43</v>
      </c>
      <c r="D40" s="21" t="s">
        <v>92</v>
      </c>
      <c r="E40" s="21" t="s">
        <v>45</v>
      </c>
      <c r="F40" s="21" t="s">
        <v>47</v>
      </c>
      <c r="G40" s="21" t="s">
        <v>163</v>
      </c>
      <c r="H40" s="33" t="s">
        <v>164</v>
      </c>
      <c r="I40" s="21" t="s">
        <v>95</v>
      </c>
      <c r="J40" s="28">
        <v>46341.0</v>
      </c>
      <c r="K40" s="28">
        <v>46341.0</v>
      </c>
      <c r="L40" s="24"/>
      <c r="M40" s="24"/>
      <c r="N40" s="25"/>
      <c r="O40" s="21" t="s">
        <v>54</v>
      </c>
      <c r="P40" s="21" t="s">
        <v>76</v>
      </c>
      <c r="Q40" s="21">
        <v>1.0</v>
      </c>
      <c r="R40" s="25"/>
      <c r="S40" s="28">
        <v>46236.0</v>
      </c>
      <c r="T40" s="25"/>
      <c r="U40" s="26"/>
      <c r="V40" s="21" t="s">
        <v>54</v>
      </c>
      <c r="W40" s="27"/>
      <c r="X40" s="21" t="s">
        <v>56</v>
      </c>
      <c r="Y40" s="21" t="s">
        <v>57</v>
      </c>
      <c r="Z40" s="21" t="s">
        <v>57</v>
      </c>
      <c r="AA40" s="28">
        <v>46268.0</v>
      </c>
      <c r="AB40" s="28">
        <v>46268.0</v>
      </c>
      <c r="AC40" s="30" t="s">
        <v>346</v>
      </c>
      <c r="AD40" s="21" t="s">
        <v>151</v>
      </c>
      <c r="AE40" s="29"/>
      <c r="AF40" s="29"/>
      <c r="AG40" s="29"/>
      <c r="AH40" s="26"/>
      <c r="AI40" s="26"/>
    </row>
    <row r="41" ht="19.5" customHeight="1">
      <c r="A41" s="20">
        <v>40.0</v>
      </c>
      <c r="B41" s="20">
        <f t="shared" si="1"/>
        <v>40</v>
      </c>
      <c r="C41" s="21" t="s">
        <v>43</v>
      </c>
      <c r="D41" s="21" t="s">
        <v>92</v>
      </c>
      <c r="E41" s="21" t="s">
        <v>45</v>
      </c>
      <c r="F41" s="21" t="s">
        <v>47</v>
      </c>
      <c r="G41" s="21" t="s">
        <v>165</v>
      </c>
      <c r="H41" s="33" t="s">
        <v>166</v>
      </c>
      <c r="I41" s="21" t="s">
        <v>95</v>
      </c>
      <c r="J41" s="28">
        <v>46344.0</v>
      </c>
      <c r="K41" s="28">
        <v>46348.0</v>
      </c>
      <c r="L41" s="24"/>
      <c r="M41" s="24"/>
      <c r="N41" s="25"/>
      <c r="O41" s="21" t="s">
        <v>54</v>
      </c>
      <c r="P41" s="21" t="s">
        <v>76</v>
      </c>
      <c r="Q41" s="21">
        <v>1.0</v>
      </c>
      <c r="R41" s="25"/>
      <c r="S41" s="28">
        <v>46236.0</v>
      </c>
      <c r="T41" s="25"/>
      <c r="U41" s="26"/>
      <c r="V41" s="21" t="s">
        <v>54</v>
      </c>
      <c r="W41" s="27"/>
      <c r="X41" s="21" t="s">
        <v>56</v>
      </c>
      <c r="Y41" s="21" t="s">
        <v>57</v>
      </c>
      <c r="Z41" s="21" t="s">
        <v>57</v>
      </c>
      <c r="AA41" s="28">
        <v>46268.0</v>
      </c>
      <c r="AB41" s="28">
        <v>46268.0</v>
      </c>
      <c r="AC41" s="30" t="s">
        <v>346</v>
      </c>
      <c r="AD41" s="21" t="s">
        <v>151</v>
      </c>
      <c r="AE41" s="29"/>
      <c r="AF41" s="29"/>
      <c r="AG41" s="29"/>
      <c r="AH41" s="26"/>
      <c r="AI41" s="26"/>
    </row>
    <row r="42" ht="19.5" customHeight="1">
      <c r="A42" s="20">
        <v>41.0</v>
      </c>
      <c r="B42" s="20">
        <f t="shared" si="1"/>
        <v>41</v>
      </c>
      <c r="C42" s="21" t="s">
        <v>43</v>
      </c>
      <c r="D42" s="21" t="s">
        <v>92</v>
      </c>
      <c r="E42" s="21" t="s">
        <v>45</v>
      </c>
      <c r="F42" s="21" t="s">
        <v>47</v>
      </c>
      <c r="G42" s="21" t="s">
        <v>167</v>
      </c>
      <c r="H42" s="33" t="s">
        <v>168</v>
      </c>
      <c r="I42" s="21" t="s">
        <v>95</v>
      </c>
      <c r="J42" s="28">
        <v>46344.0</v>
      </c>
      <c r="K42" s="28">
        <v>46348.0</v>
      </c>
      <c r="L42" s="24"/>
      <c r="M42" s="24"/>
      <c r="N42" s="25"/>
      <c r="O42" s="21" t="s">
        <v>54</v>
      </c>
      <c r="P42" s="21" t="s">
        <v>76</v>
      </c>
      <c r="Q42" s="21">
        <v>1.0</v>
      </c>
      <c r="R42" s="25"/>
      <c r="S42" s="28">
        <v>46236.0</v>
      </c>
      <c r="T42" s="25"/>
      <c r="U42" s="26"/>
      <c r="V42" s="21" t="s">
        <v>54</v>
      </c>
      <c r="W42" s="27"/>
      <c r="X42" s="21" t="s">
        <v>56</v>
      </c>
      <c r="Y42" s="21" t="s">
        <v>57</v>
      </c>
      <c r="Z42" s="21" t="s">
        <v>57</v>
      </c>
      <c r="AA42" s="28">
        <v>46268.0</v>
      </c>
      <c r="AB42" s="28">
        <v>46268.0</v>
      </c>
      <c r="AC42" s="30" t="s">
        <v>346</v>
      </c>
      <c r="AD42" s="21" t="s">
        <v>151</v>
      </c>
      <c r="AE42" s="29"/>
      <c r="AF42" s="29"/>
      <c r="AG42" s="29"/>
      <c r="AH42" s="26"/>
      <c r="AI42" s="26"/>
    </row>
    <row r="43" ht="19.5" customHeight="1">
      <c r="A43" s="20">
        <v>42.0</v>
      </c>
      <c r="B43" s="20">
        <f t="shared" si="1"/>
        <v>42</v>
      </c>
      <c r="C43" s="21" t="s">
        <v>43</v>
      </c>
      <c r="D43" s="21" t="s">
        <v>92</v>
      </c>
      <c r="E43" s="21" t="s">
        <v>45</v>
      </c>
      <c r="F43" s="21" t="s">
        <v>47</v>
      </c>
      <c r="G43" s="21" t="s">
        <v>169</v>
      </c>
      <c r="H43" s="33" t="s">
        <v>170</v>
      </c>
      <c r="I43" s="21" t="s">
        <v>95</v>
      </c>
      <c r="J43" s="28">
        <v>46344.0</v>
      </c>
      <c r="K43" s="28">
        <v>46348.0</v>
      </c>
      <c r="L43" s="24"/>
      <c r="M43" s="24"/>
      <c r="N43" s="25"/>
      <c r="O43" s="21" t="s">
        <v>54</v>
      </c>
      <c r="P43" s="21" t="s">
        <v>76</v>
      </c>
      <c r="Q43" s="21">
        <v>1.0</v>
      </c>
      <c r="R43" s="25"/>
      <c r="S43" s="28">
        <v>46236.0</v>
      </c>
      <c r="T43" s="25"/>
      <c r="U43" s="26"/>
      <c r="V43" s="21" t="s">
        <v>54</v>
      </c>
      <c r="W43" s="27"/>
      <c r="X43" s="21" t="s">
        <v>56</v>
      </c>
      <c r="Y43" s="21" t="s">
        <v>57</v>
      </c>
      <c r="Z43" s="21" t="s">
        <v>57</v>
      </c>
      <c r="AA43" s="28">
        <v>46268.0</v>
      </c>
      <c r="AB43" s="28">
        <v>46268.0</v>
      </c>
      <c r="AC43" s="30" t="s">
        <v>346</v>
      </c>
      <c r="AD43" s="21" t="s">
        <v>151</v>
      </c>
      <c r="AE43" s="29"/>
      <c r="AF43" s="29"/>
      <c r="AG43" s="29"/>
      <c r="AH43" s="26"/>
      <c r="AI43" s="26"/>
    </row>
    <row r="44" ht="19.5" customHeight="1">
      <c r="A44" s="20">
        <v>43.0</v>
      </c>
      <c r="B44" s="20">
        <f t="shared" si="1"/>
        <v>43</v>
      </c>
      <c r="C44" s="21" t="s">
        <v>43</v>
      </c>
      <c r="D44" s="21" t="s">
        <v>92</v>
      </c>
      <c r="E44" s="21" t="s">
        <v>45</v>
      </c>
      <c r="F44" s="21" t="s">
        <v>47</v>
      </c>
      <c r="G44" s="21" t="s">
        <v>171</v>
      </c>
      <c r="H44" s="33" t="s">
        <v>172</v>
      </c>
      <c r="I44" s="21" t="s">
        <v>95</v>
      </c>
      <c r="J44" s="28">
        <v>46351.0</v>
      </c>
      <c r="K44" s="28">
        <v>46351.0</v>
      </c>
      <c r="L44" s="24"/>
      <c r="M44" s="24"/>
      <c r="N44" s="25"/>
      <c r="O44" s="21" t="s">
        <v>54</v>
      </c>
      <c r="P44" s="21" t="s">
        <v>85</v>
      </c>
      <c r="Q44" s="21">
        <v>1.0</v>
      </c>
      <c r="R44" s="25"/>
      <c r="S44" s="28">
        <v>46236.0</v>
      </c>
      <c r="T44" s="25"/>
      <c r="U44" s="26"/>
      <c r="V44" s="21" t="s">
        <v>54</v>
      </c>
      <c r="W44" s="27"/>
      <c r="X44" s="21" t="s">
        <v>56</v>
      </c>
      <c r="Y44" s="21" t="s">
        <v>57</v>
      </c>
      <c r="Z44" s="21" t="s">
        <v>57</v>
      </c>
      <c r="AA44" s="28">
        <v>46268.0</v>
      </c>
      <c r="AB44" s="28">
        <v>46268.0</v>
      </c>
      <c r="AC44" s="30" t="s">
        <v>346</v>
      </c>
      <c r="AD44" s="21" t="s">
        <v>151</v>
      </c>
      <c r="AE44" s="29"/>
      <c r="AF44" s="29"/>
      <c r="AG44" s="29"/>
      <c r="AH44" s="26"/>
      <c r="AI44" s="26"/>
    </row>
    <row r="45" ht="19.5" customHeight="1">
      <c r="A45" s="20">
        <v>44.0</v>
      </c>
      <c r="B45" s="20">
        <f t="shared" si="1"/>
        <v>44</v>
      </c>
      <c r="C45" s="21" t="s">
        <v>43</v>
      </c>
      <c r="D45" s="21" t="s">
        <v>92</v>
      </c>
      <c r="E45" s="21" t="s">
        <v>45</v>
      </c>
      <c r="F45" s="21" t="s">
        <v>47</v>
      </c>
      <c r="G45" s="21" t="s">
        <v>173</v>
      </c>
      <c r="H45" s="33" t="s">
        <v>174</v>
      </c>
      <c r="I45" s="21" t="s">
        <v>95</v>
      </c>
      <c r="J45" s="28">
        <v>46352.0</v>
      </c>
      <c r="K45" s="28">
        <v>46354.0</v>
      </c>
      <c r="L45" s="24"/>
      <c r="M45" s="24"/>
      <c r="N45" s="25"/>
      <c r="O45" s="21" t="s">
        <v>54</v>
      </c>
      <c r="P45" s="21" t="s">
        <v>76</v>
      </c>
      <c r="Q45" s="21">
        <v>1.0</v>
      </c>
      <c r="R45" s="25"/>
      <c r="S45" s="28">
        <v>46236.0</v>
      </c>
      <c r="T45" s="25"/>
      <c r="U45" s="26"/>
      <c r="V45" s="21" t="s">
        <v>54</v>
      </c>
      <c r="W45" s="27"/>
      <c r="X45" s="21" t="s">
        <v>56</v>
      </c>
      <c r="Y45" s="21" t="s">
        <v>57</v>
      </c>
      <c r="Z45" s="21" t="s">
        <v>57</v>
      </c>
      <c r="AA45" s="28">
        <v>46268.0</v>
      </c>
      <c r="AB45" s="28">
        <v>46268.0</v>
      </c>
      <c r="AC45" s="30" t="s">
        <v>346</v>
      </c>
      <c r="AD45" s="21" t="s">
        <v>152</v>
      </c>
      <c r="AE45" s="29"/>
      <c r="AF45" s="29"/>
      <c r="AG45" s="29"/>
      <c r="AH45" s="26"/>
      <c r="AI45" s="26"/>
    </row>
    <row r="46" ht="19.5" customHeight="1">
      <c r="A46" s="20">
        <v>45.0</v>
      </c>
      <c r="B46" s="20">
        <f t="shared" si="1"/>
        <v>45</v>
      </c>
      <c r="C46" s="21" t="s">
        <v>43</v>
      </c>
      <c r="D46" s="21" t="s">
        <v>92</v>
      </c>
      <c r="E46" s="21" t="s">
        <v>45</v>
      </c>
      <c r="F46" s="21" t="s">
        <v>47</v>
      </c>
      <c r="G46" s="21" t="s">
        <v>177</v>
      </c>
      <c r="H46" s="33" t="s">
        <v>178</v>
      </c>
      <c r="I46" s="21" t="s">
        <v>95</v>
      </c>
      <c r="J46" s="28">
        <v>46355.0</v>
      </c>
      <c r="K46" s="28">
        <v>46356.0</v>
      </c>
      <c r="L46" s="24"/>
      <c r="M46" s="24"/>
      <c r="N46" s="25"/>
      <c r="O46" s="21" t="s">
        <v>54</v>
      </c>
      <c r="P46" s="21" t="s">
        <v>76</v>
      </c>
      <c r="Q46" s="21">
        <v>1.0</v>
      </c>
      <c r="R46" s="25"/>
      <c r="S46" s="28">
        <v>46236.0</v>
      </c>
      <c r="T46" s="25"/>
      <c r="U46" s="26"/>
      <c r="V46" s="21" t="s">
        <v>54</v>
      </c>
      <c r="W46" s="27"/>
      <c r="X46" s="21" t="s">
        <v>56</v>
      </c>
      <c r="Y46" s="21" t="s">
        <v>57</v>
      </c>
      <c r="Z46" s="21" t="s">
        <v>57</v>
      </c>
      <c r="AA46" s="28">
        <v>46268.0</v>
      </c>
      <c r="AB46" s="28">
        <v>46268.0</v>
      </c>
      <c r="AC46" s="30" t="s">
        <v>346</v>
      </c>
      <c r="AD46" s="21" t="s">
        <v>152</v>
      </c>
      <c r="AE46" s="29"/>
      <c r="AF46" s="29"/>
      <c r="AG46" s="29"/>
      <c r="AH46" s="26"/>
      <c r="AI46" s="26"/>
    </row>
    <row r="47" ht="19.5" customHeight="1">
      <c r="A47" s="20">
        <v>46.0</v>
      </c>
      <c r="B47" s="20">
        <f t="shared" si="1"/>
        <v>46</v>
      </c>
      <c r="C47" s="21" t="s">
        <v>43</v>
      </c>
      <c r="D47" s="21" t="s">
        <v>92</v>
      </c>
      <c r="E47" s="21" t="s">
        <v>45</v>
      </c>
      <c r="F47" s="21" t="s">
        <v>47</v>
      </c>
      <c r="G47" s="21" t="s">
        <v>179</v>
      </c>
      <c r="H47" s="33" t="s">
        <v>180</v>
      </c>
      <c r="I47" s="21" t="s">
        <v>95</v>
      </c>
      <c r="J47" s="28">
        <v>46355.0</v>
      </c>
      <c r="K47" s="28">
        <v>46356.0</v>
      </c>
      <c r="L47" s="24"/>
      <c r="M47" s="24"/>
      <c r="N47" s="25"/>
      <c r="O47" s="21" t="s">
        <v>54</v>
      </c>
      <c r="P47" s="21" t="s">
        <v>76</v>
      </c>
      <c r="Q47" s="21">
        <v>1.0</v>
      </c>
      <c r="R47" s="25"/>
      <c r="S47" s="28">
        <v>46236.0</v>
      </c>
      <c r="T47" s="25"/>
      <c r="U47" s="26"/>
      <c r="V47" s="21" t="s">
        <v>54</v>
      </c>
      <c r="W47" s="27"/>
      <c r="X47" s="21" t="s">
        <v>56</v>
      </c>
      <c r="Y47" s="21" t="s">
        <v>181</v>
      </c>
      <c r="Z47" s="25"/>
      <c r="AA47" s="29"/>
      <c r="AB47" s="29"/>
      <c r="AC47" s="30"/>
      <c r="AD47" s="25"/>
      <c r="AE47" s="29"/>
      <c r="AF47" s="29"/>
      <c r="AG47" s="29"/>
      <c r="AH47" s="26"/>
      <c r="AI47" s="26"/>
    </row>
    <row r="48" ht="19.5" customHeight="1">
      <c r="A48" s="20">
        <v>47.0</v>
      </c>
      <c r="B48" s="20">
        <f t="shared" si="1"/>
        <v>47</v>
      </c>
      <c r="C48" s="21" t="s">
        <v>43</v>
      </c>
      <c r="D48" s="21" t="s">
        <v>92</v>
      </c>
      <c r="E48" s="21" t="s">
        <v>45</v>
      </c>
      <c r="F48" s="21" t="s">
        <v>47</v>
      </c>
      <c r="G48" s="21" t="s">
        <v>183</v>
      </c>
      <c r="H48" s="33" t="s">
        <v>184</v>
      </c>
      <c r="I48" s="21" t="s">
        <v>53</v>
      </c>
      <c r="J48" s="28">
        <v>46310.0</v>
      </c>
      <c r="K48" s="28">
        <v>46313.0</v>
      </c>
      <c r="L48" s="24"/>
      <c r="M48" s="24"/>
      <c r="N48" s="25"/>
      <c r="O48" s="21" t="s">
        <v>54</v>
      </c>
      <c r="P48" s="21" t="s">
        <v>76</v>
      </c>
      <c r="Q48" s="21">
        <v>1.0</v>
      </c>
      <c r="R48" s="25"/>
      <c r="S48" s="28">
        <v>46236.0</v>
      </c>
      <c r="T48" s="25"/>
      <c r="U48" s="26"/>
      <c r="V48" s="21" t="s">
        <v>54</v>
      </c>
      <c r="W48" s="27"/>
      <c r="X48" s="21" t="s">
        <v>56</v>
      </c>
      <c r="Y48" s="21" t="s">
        <v>57</v>
      </c>
      <c r="Z48" s="21" t="s">
        <v>57</v>
      </c>
      <c r="AA48" s="28">
        <v>46268.0</v>
      </c>
      <c r="AB48" s="28">
        <v>46268.0</v>
      </c>
      <c r="AC48" s="30" t="s">
        <v>346</v>
      </c>
      <c r="AD48" s="21" t="s">
        <v>151</v>
      </c>
      <c r="AE48" s="21" t="s">
        <v>364</v>
      </c>
      <c r="AF48" s="21" t="s">
        <v>364</v>
      </c>
      <c r="AG48" s="29"/>
      <c r="AH48" s="26"/>
      <c r="AI48" s="26"/>
    </row>
    <row r="49" ht="19.5" customHeight="1">
      <c r="A49" s="20">
        <v>48.0</v>
      </c>
      <c r="B49" s="20">
        <f t="shared" si="1"/>
        <v>48</v>
      </c>
      <c r="C49" s="21" t="s">
        <v>43</v>
      </c>
      <c r="D49" s="21" t="s">
        <v>92</v>
      </c>
      <c r="E49" s="21" t="s">
        <v>45</v>
      </c>
      <c r="F49" s="21" t="s">
        <v>47</v>
      </c>
      <c r="G49" s="21" t="s">
        <v>191</v>
      </c>
      <c r="H49" s="33" t="s">
        <v>192</v>
      </c>
      <c r="I49" s="21" t="s">
        <v>53</v>
      </c>
      <c r="J49" s="28">
        <v>46316.0</v>
      </c>
      <c r="K49" s="28">
        <v>46318.0</v>
      </c>
      <c r="L49" s="24"/>
      <c r="M49" s="24"/>
      <c r="N49" s="25"/>
      <c r="O49" s="21" t="s">
        <v>54</v>
      </c>
      <c r="P49" s="21" t="s">
        <v>76</v>
      </c>
      <c r="Q49" s="21">
        <v>1.0</v>
      </c>
      <c r="R49" s="25"/>
      <c r="S49" s="28">
        <v>46236.0</v>
      </c>
      <c r="T49" s="25"/>
      <c r="U49" s="26"/>
      <c r="V49" s="21" t="s">
        <v>54</v>
      </c>
      <c r="W49" s="27"/>
      <c r="X49" s="21" t="s">
        <v>56</v>
      </c>
      <c r="Y49" s="21" t="s">
        <v>57</v>
      </c>
      <c r="Z49" s="21" t="s">
        <v>57</v>
      </c>
      <c r="AA49" s="28">
        <v>46268.0</v>
      </c>
      <c r="AB49" s="28">
        <v>46268.0</v>
      </c>
      <c r="AC49" s="30" t="s">
        <v>346</v>
      </c>
      <c r="AD49" s="21" t="s">
        <v>152</v>
      </c>
      <c r="AE49" s="21" t="s">
        <v>437</v>
      </c>
      <c r="AF49" s="21" t="s">
        <v>437</v>
      </c>
      <c r="AG49" s="29"/>
      <c r="AH49" s="26"/>
      <c r="AI49" s="26"/>
    </row>
    <row r="50" ht="19.5" customHeight="1">
      <c r="A50" s="20">
        <v>49.0</v>
      </c>
      <c r="B50" s="20">
        <f t="shared" si="1"/>
        <v>49</v>
      </c>
      <c r="C50" s="21" t="s">
        <v>43</v>
      </c>
      <c r="D50" s="21" t="s">
        <v>92</v>
      </c>
      <c r="E50" s="21" t="s">
        <v>45</v>
      </c>
      <c r="F50" s="21" t="s">
        <v>47</v>
      </c>
      <c r="G50" s="21" t="s">
        <v>194</v>
      </c>
      <c r="H50" s="33" t="s">
        <v>195</v>
      </c>
      <c r="I50" s="21" t="s">
        <v>53</v>
      </c>
      <c r="J50" s="28">
        <v>46319.0</v>
      </c>
      <c r="K50" s="28">
        <v>46323.0</v>
      </c>
      <c r="L50" s="24"/>
      <c r="M50" s="24"/>
      <c r="N50" s="25"/>
      <c r="O50" s="21" t="s">
        <v>54</v>
      </c>
      <c r="P50" s="21" t="s">
        <v>76</v>
      </c>
      <c r="Q50" s="21">
        <v>1.0</v>
      </c>
      <c r="R50" s="25"/>
      <c r="S50" s="28">
        <v>46236.0</v>
      </c>
      <c r="T50" s="25"/>
      <c r="U50" s="26"/>
      <c r="V50" s="21" t="s">
        <v>54</v>
      </c>
      <c r="W50" s="27"/>
      <c r="X50" s="21" t="s">
        <v>56</v>
      </c>
      <c r="Y50" s="21" t="s">
        <v>57</v>
      </c>
      <c r="Z50" s="21" t="s">
        <v>57</v>
      </c>
      <c r="AA50" s="28">
        <v>46268.0</v>
      </c>
      <c r="AB50" s="28">
        <v>46268.0</v>
      </c>
      <c r="AC50" s="30" t="s">
        <v>346</v>
      </c>
      <c r="AD50" s="21" t="s">
        <v>152</v>
      </c>
      <c r="AE50" s="21" t="s">
        <v>574</v>
      </c>
      <c r="AF50" s="21" t="s">
        <v>574</v>
      </c>
      <c r="AG50" s="29"/>
      <c r="AH50" s="26"/>
      <c r="AI50" s="26"/>
    </row>
    <row r="51" ht="19.5" customHeight="1">
      <c r="A51" s="20">
        <v>50.0</v>
      </c>
      <c r="B51" s="20">
        <f t="shared" si="1"/>
        <v>50</v>
      </c>
      <c r="C51" s="21" t="s">
        <v>43</v>
      </c>
      <c r="D51" s="21" t="s">
        <v>92</v>
      </c>
      <c r="E51" s="21" t="s">
        <v>45</v>
      </c>
      <c r="F51" s="21" t="s">
        <v>47</v>
      </c>
      <c r="G51" s="21" t="s">
        <v>206</v>
      </c>
      <c r="H51" s="33" t="s">
        <v>207</v>
      </c>
      <c r="I51" s="21" t="s">
        <v>53</v>
      </c>
      <c r="J51" s="28">
        <v>46324.0</v>
      </c>
      <c r="K51" s="28">
        <v>46326.0</v>
      </c>
      <c r="L51" s="24"/>
      <c r="M51" s="24"/>
      <c r="N51" s="25"/>
      <c r="O51" s="21" t="s">
        <v>54</v>
      </c>
      <c r="P51" s="21" t="s">
        <v>76</v>
      </c>
      <c r="Q51" s="21">
        <v>1.0</v>
      </c>
      <c r="R51" s="25"/>
      <c r="S51" s="28">
        <v>46236.0</v>
      </c>
      <c r="T51" s="25"/>
      <c r="U51" s="26"/>
      <c r="V51" s="21" t="s">
        <v>54</v>
      </c>
      <c r="W51" s="27"/>
      <c r="X51" s="21" t="s">
        <v>56</v>
      </c>
      <c r="Y51" s="21" t="s">
        <v>57</v>
      </c>
      <c r="Z51" s="21" t="s">
        <v>57</v>
      </c>
      <c r="AA51" s="28">
        <v>46268.0</v>
      </c>
      <c r="AB51" s="28">
        <v>46268.0</v>
      </c>
      <c r="AC51" s="30" t="s">
        <v>346</v>
      </c>
      <c r="AD51" s="21" t="s">
        <v>151</v>
      </c>
      <c r="AE51" s="21" t="s">
        <v>574</v>
      </c>
      <c r="AF51" s="21" t="s">
        <v>574</v>
      </c>
      <c r="AG51" s="29"/>
      <c r="AH51" s="26"/>
      <c r="AI51" s="26"/>
    </row>
    <row r="52" ht="19.5" customHeight="1">
      <c r="A52" s="20">
        <v>51.0</v>
      </c>
      <c r="B52" s="20">
        <f t="shared" si="1"/>
        <v>51</v>
      </c>
      <c r="C52" s="21" t="s">
        <v>43</v>
      </c>
      <c r="D52" s="21" t="s">
        <v>92</v>
      </c>
      <c r="E52" s="21" t="s">
        <v>45</v>
      </c>
      <c r="F52" s="21" t="s">
        <v>47</v>
      </c>
      <c r="G52" s="21" t="s">
        <v>208</v>
      </c>
      <c r="H52" s="33" t="s">
        <v>209</v>
      </c>
      <c r="I52" s="21" t="s">
        <v>53</v>
      </c>
      <c r="J52" s="28">
        <v>46327.0</v>
      </c>
      <c r="K52" s="28">
        <v>46331.0</v>
      </c>
      <c r="L52" s="24"/>
      <c r="M52" s="24"/>
      <c r="N52" s="25"/>
      <c r="O52" s="21" t="s">
        <v>54</v>
      </c>
      <c r="P52" s="21" t="s">
        <v>76</v>
      </c>
      <c r="Q52" s="21">
        <v>1.0</v>
      </c>
      <c r="R52" s="25"/>
      <c r="S52" s="28">
        <v>46236.0</v>
      </c>
      <c r="T52" s="25"/>
      <c r="U52" s="26"/>
      <c r="V52" s="21" t="s">
        <v>54</v>
      </c>
      <c r="W52" s="27"/>
      <c r="X52" s="21" t="s">
        <v>56</v>
      </c>
      <c r="Y52" s="21" t="s">
        <v>57</v>
      </c>
      <c r="Z52" s="21" t="s">
        <v>57</v>
      </c>
      <c r="AA52" s="28">
        <v>46268.0</v>
      </c>
      <c r="AB52" s="28">
        <v>46268.0</v>
      </c>
      <c r="AC52" s="30" t="s">
        <v>346</v>
      </c>
      <c r="AD52" s="21" t="s">
        <v>151</v>
      </c>
      <c r="AE52" s="29"/>
      <c r="AF52" s="29"/>
      <c r="AG52" s="29"/>
      <c r="AH52" s="26"/>
      <c r="AI52" s="26"/>
    </row>
    <row r="53" ht="19.5" customHeight="1">
      <c r="A53" s="20">
        <v>52.0</v>
      </c>
      <c r="B53" s="20">
        <f t="shared" si="1"/>
        <v>52</v>
      </c>
      <c r="C53" s="21" t="s">
        <v>43</v>
      </c>
      <c r="D53" s="21" t="s">
        <v>92</v>
      </c>
      <c r="E53" s="21" t="s">
        <v>45</v>
      </c>
      <c r="F53" s="21" t="s">
        <v>47</v>
      </c>
      <c r="G53" s="21" t="s">
        <v>210</v>
      </c>
      <c r="H53" s="33" t="s">
        <v>211</v>
      </c>
      <c r="I53" s="21" t="s">
        <v>53</v>
      </c>
      <c r="J53" s="28">
        <v>46332.0</v>
      </c>
      <c r="K53" s="28">
        <v>46333.0</v>
      </c>
      <c r="L53" s="24"/>
      <c r="M53" s="24"/>
      <c r="N53" s="25"/>
      <c r="O53" s="21" t="s">
        <v>54</v>
      </c>
      <c r="P53" s="21" t="s">
        <v>76</v>
      </c>
      <c r="Q53" s="21">
        <v>1.0</v>
      </c>
      <c r="R53" s="25"/>
      <c r="S53" s="28">
        <v>46236.0</v>
      </c>
      <c r="T53" s="25"/>
      <c r="U53" s="26"/>
      <c r="V53" s="21" t="s">
        <v>54</v>
      </c>
      <c r="W53" s="27"/>
      <c r="X53" s="21" t="s">
        <v>56</v>
      </c>
      <c r="Y53" s="21" t="s">
        <v>57</v>
      </c>
      <c r="Z53" s="21" t="s">
        <v>57</v>
      </c>
      <c r="AA53" s="28">
        <v>46268.0</v>
      </c>
      <c r="AB53" s="28">
        <v>46268.0</v>
      </c>
      <c r="AC53" s="30" t="s">
        <v>346</v>
      </c>
      <c r="AD53" s="21" t="s">
        <v>151</v>
      </c>
      <c r="AE53" s="29"/>
      <c r="AF53" s="29"/>
      <c r="AG53" s="29"/>
      <c r="AH53" s="26"/>
      <c r="AI53" s="26"/>
    </row>
    <row r="54" ht="19.5" customHeight="1">
      <c r="A54" s="20">
        <v>53.0</v>
      </c>
      <c r="B54" s="20">
        <f t="shared" si="1"/>
        <v>53</v>
      </c>
      <c r="C54" s="21" t="s">
        <v>43</v>
      </c>
      <c r="D54" s="21" t="s">
        <v>92</v>
      </c>
      <c r="E54" s="21" t="s">
        <v>45</v>
      </c>
      <c r="F54" s="21" t="s">
        <v>47</v>
      </c>
      <c r="G54" s="21" t="s">
        <v>212</v>
      </c>
      <c r="H54" s="33" t="s">
        <v>213</v>
      </c>
      <c r="I54" s="21" t="s">
        <v>53</v>
      </c>
      <c r="J54" s="28">
        <v>46334.0</v>
      </c>
      <c r="K54" s="28">
        <v>46337.0</v>
      </c>
      <c r="L54" s="24"/>
      <c r="M54" s="24"/>
      <c r="N54" s="25"/>
      <c r="O54" s="21" t="s">
        <v>54</v>
      </c>
      <c r="P54" s="21" t="s">
        <v>85</v>
      </c>
      <c r="Q54" s="21">
        <v>1.0</v>
      </c>
      <c r="R54" s="25"/>
      <c r="S54" s="28">
        <v>46236.0</v>
      </c>
      <c r="T54" s="25"/>
      <c r="U54" s="26"/>
      <c r="V54" s="21" t="s">
        <v>54</v>
      </c>
      <c r="W54" s="27"/>
      <c r="X54" s="21" t="s">
        <v>56</v>
      </c>
      <c r="Y54" s="21" t="s">
        <v>57</v>
      </c>
      <c r="Z54" s="21" t="s">
        <v>57</v>
      </c>
      <c r="AA54" s="28">
        <v>46268.0</v>
      </c>
      <c r="AB54" s="28">
        <v>46268.0</v>
      </c>
      <c r="AC54" s="30" t="s">
        <v>346</v>
      </c>
      <c r="AD54" s="21" t="s">
        <v>152</v>
      </c>
      <c r="AE54" s="29"/>
      <c r="AF54" s="29"/>
      <c r="AG54" s="29"/>
      <c r="AH54" s="26"/>
      <c r="AI54" s="26"/>
    </row>
    <row r="55" ht="19.5" customHeight="1">
      <c r="A55" s="20">
        <v>54.0</v>
      </c>
      <c r="B55" s="20">
        <f t="shared" si="1"/>
        <v>54</v>
      </c>
      <c r="C55" s="21" t="s">
        <v>43</v>
      </c>
      <c r="D55" s="21" t="s">
        <v>92</v>
      </c>
      <c r="E55" s="21" t="s">
        <v>45</v>
      </c>
      <c r="F55" s="21" t="s">
        <v>47</v>
      </c>
      <c r="G55" s="21" t="s">
        <v>214</v>
      </c>
      <c r="H55" s="33" t="s">
        <v>215</v>
      </c>
      <c r="I55" s="21" t="s">
        <v>53</v>
      </c>
      <c r="J55" s="28">
        <v>46338.0</v>
      </c>
      <c r="K55" s="28">
        <v>46339.0</v>
      </c>
      <c r="L55" s="24"/>
      <c r="M55" s="24"/>
      <c r="N55" s="25"/>
      <c r="O55" s="21" t="s">
        <v>54</v>
      </c>
      <c r="P55" s="21" t="s">
        <v>85</v>
      </c>
      <c r="Q55" s="21">
        <v>1.0</v>
      </c>
      <c r="R55" s="25"/>
      <c r="S55" s="28">
        <v>46236.0</v>
      </c>
      <c r="T55" s="25"/>
      <c r="U55" s="26"/>
      <c r="V55" s="21" t="s">
        <v>54</v>
      </c>
      <c r="W55" s="27"/>
      <c r="X55" s="21" t="s">
        <v>56</v>
      </c>
      <c r="Y55" s="21" t="s">
        <v>57</v>
      </c>
      <c r="Z55" s="21" t="s">
        <v>57</v>
      </c>
      <c r="AA55" s="28">
        <v>46268.0</v>
      </c>
      <c r="AB55" s="28">
        <v>46268.0</v>
      </c>
      <c r="AC55" s="30" t="s">
        <v>346</v>
      </c>
      <c r="AD55" s="21" t="s">
        <v>151</v>
      </c>
      <c r="AE55" s="29"/>
      <c r="AF55" s="29"/>
      <c r="AG55" s="29"/>
      <c r="AH55" s="26"/>
      <c r="AI55" s="26"/>
    </row>
    <row r="56" ht="19.5" customHeight="1">
      <c r="A56" s="20">
        <v>55.0</v>
      </c>
      <c r="B56" s="20">
        <f t="shared" si="1"/>
        <v>55</v>
      </c>
      <c r="C56" s="21" t="s">
        <v>43</v>
      </c>
      <c r="D56" s="21" t="s">
        <v>92</v>
      </c>
      <c r="E56" s="21" t="s">
        <v>45</v>
      </c>
      <c r="F56" s="21" t="s">
        <v>47</v>
      </c>
      <c r="G56" s="21" t="s">
        <v>216</v>
      </c>
      <c r="H56" s="33" t="s">
        <v>217</v>
      </c>
      <c r="I56" s="21" t="s">
        <v>123</v>
      </c>
      <c r="J56" s="28">
        <v>46344.0</v>
      </c>
      <c r="K56" s="28">
        <v>46348.0</v>
      </c>
      <c r="L56" s="24"/>
      <c r="M56" s="24"/>
      <c r="N56" s="25"/>
      <c r="O56" s="21" t="s">
        <v>54</v>
      </c>
      <c r="P56" s="21" t="s">
        <v>76</v>
      </c>
      <c r="Q56" s="21">
        <v>1.0</v>
      </c>
      <c r="R56" s="25"/>
      <c r="S56" s="28">
        <v>46236.0</v>
      </c>
      <c r="T56" s="25"/>
      <c r="U56" s="26"/>
      <c r="V56" s="21" t="s">
        <v>54</v>
      </c>
      <c r="W56" s="27"/>
      <c r="X56" s="21" t="s">
        <v>56</v>
      </c>
      <c r="Y56" s="21" t="s">
        <v>57</v>
      </c>
      <c r="Z56" s="21" t="s">
        <v>57</v>
      </c>
      <c r="AA56" s="28">
        <v>46268.0</v>
      </c>
      <c r="AB56" s="28">
        <v>46268.0</v>
      </c>
      <c r="AC56" s="30" t="s">
        <v>346</v>
      </c>
      <c r="AD56" s="21" t="s">
        <v>152</v>
      </c>
      <c r="AE56" s="29"/>
      <c r="AF56" s="29"/>
      <c r="AG56" s="29"/>
      <c r="AH56" s="65" t="s">
        <v>222</v>
      </c>
      <c r="AI56" s="26"/>
    </row>
    <row r="57" ht="19.5" customHeight="1">
      <c r="A57" s="20">
        <v>56.0</v>
      </c>
      <c r="B57" s="20">
        <f t="shared" si="1"/>
        <v>56</v>
      </c>
      <c r="C57" s="21" t="s">
        <v>43</v>
      </c>
      <c r="D57" s="21" t="s">
        <v>92</v>
      </c>
      <c r="E57" s="21" t="s">
        <v>45</v>
      </c>
      <c r="F57" s="21" t="s">
        <v>47</v>
      </c>
      <c r="G57" s="21" t="s">
        <v>218</v>
      </c>
      <c r="H57" s="33" t="s">
        <v>219</v>
      </c>
      <c r="I57" s="21" t="s">
        <v>123</v>
      </c>
      <c r="J57" s="28">
        <v>46351.0</v>
      </c>
      <c r="K57" s="28">
        <v>46355.0</v>
      </c>
      <c r="L57" s="24"/>
      <c r="M57" s="24"/>
      <c r="N57" s="25"/>
      <c r="O57" s="21" t="s">
        <v>54</v>
      </c>
      <c r="P57" s="21" t="s">
        <v>76</v>
      </c>
      <c r="Q57" s="21">
        <v>1.0</v>
      </c>
      <c r="R57" s="25"/>
      <c r="S57" s="28">
        <v>46236.0</v>
      </c>
      <c r="T57" s="25"/>
      <c r="U57" s="26"/>
      <c r="V57" s="21" t="s">
        <v>54</v>
      </c>
      <c r="W57" s="27"/>
      <c r="X57" s="21" t="s">
        <v>56</v>
      </c>
      <c r="Y57" s="21" t="s">
        <v>57</v>
      </c>
      <c r="Z57" s="21" t="s">
        <v>57</v>
      </c>
      <c r="AA57" s="28">
        <v>46268.0</v>
      </c>
      <c r="AB57" s="28">
        <v>46268.0</v>
      </c>
      <c r="AC57" s="30" t="s">
        <v>346</v>
      </c>
      <c r="AD57" s="21" t="s">
        <v>151</v>
      </c>
      <c r="AE57" s="29"/>
      <c r="AF57" s="29"/>
      <c r="AG57" s="29"/>
      <c r="AH57" s="33" t="s">
        <v>222</v>
      </c>
      <c r="AI57" s="26"/>
    </row>
    <row r="58" ht="19.5" customHeight="1">
      <c r="A58" s="20">
        <v>57.0</v>
      </c>
      <c r="B58" s="20">
        <f t="shared" si="1"/>
        <v>57</v>
      </c>
      <c r="C58" s="21" t="s">
        <v>43</v>
      </c>
      <c r="D58" s="21" t="s">
        <v>92</v>
      </c>
      <c r="E58" s="21" t="s">
        <v>45</v>
      </c>
      <c r="F58" s="21" t="s">
        <v>47</v>
      </c>
      <c r="G58" s="21" t="s">
        <v>220</v>
      </c>
      <c r="H58" s="33" t="s">
        <v>221</v>
      </c>
      <c r="I58" s="21" t="s">
        <v>123</v>
      </c>
      <c r="J58" s="28">
        <v>46295.0</v>
      </c>
      <c r="K58" s="28">
        <v>46295.0</v>
      </c>
      <c r="L58" s="24"/>
      <c r="M58" s="24"/>
      <c r="N58" s="25"/>
      <c r="O58" s="21" t="s">
        <v>82</v>
      </c>
      <c r="P58" s="21" t="s">
        <v>85</v>
      </c>
      <c r="Q58" s="21">
        <v>1.0</v>
      </c>
      <c r="R58" s="25"/>
      <c r="S58" s="28">
        <v>46236.0</v>
      </c>
      <c r="T58" s="25"/>
      <c r="U58" s="26"/>
      <c r="V58" s="21" t="s">
        <v>54</v>
      </c>
      <c r="W58" s="27"/>
      <c r="X58" s="21" t="s">
        <v>56</v>
      </c>
      <c r="Y58" s="21" t="s">
        <v>57</v>
      </c>
      <c r="Z58" s="21" t="s">
        <v>57</v>
      </c>
      <c r="AA58" s="28">
        <v>46268.0</v>
      </c>
      <c r="AB58" s="29"/>
      <c r="AC58" s="30"/>
      <c r="AD58" s="25"/>
      <c r="AE58" s="29"/>
      <c r="AF58" s="29"/>
      <c r="AG58" s="29"/>
      <c r="AH58" s="26"/>
      <c r="AI58" s="26"/>
    </row>
    <row r="59" ht="19.5" customHeight="1">
      <c r="A59" s="20">
        <v>58.0</v>
      </c>
      <c r="B59" s="20">
        <f t="shared" si="1"/>
        <v>58</v>
      </c>
      <c r="C59" s="21" t="s">
        <v>43</v>
      </c>
      <c r="D59" s="21" t="s">
        <v>92</v>
      </c>
      <c r="E59" s="21" t="s">
        <v>45</v>
      </c>
      <c r="F59" s="21" t="s">
        <v>47</v>
      </c>
      <c r="G59" s="21" t="s">
        <v>223</v>
      </c>
      <c r="H59" s="33" t="s">
        <v>224</v>
      </c>
      <c r="I59" s="21" t="s">
        <v>123</v>
      </c>
      <c r="J59" s="28">
        <v>46296.0</v>
      </c>
      <c r="K59" s="28">
        <v>46296.0</v>
      </c>
      <c r="L59" s="24"/>
      <c r="M59" s="24"/>
      <c r="N59" s="25"/>
      <c r="O59" s="21" t="s">
        <v>82</v>
      </c>
      <c r="P59" s="21" t="s">
        <v>85</v>
      </c>
      <c r="Q59" s="21">
        <v>1.0</v>
      </c>
      <c r="R59" s="25"/>
      <c r="S59" s="28">
        <v>46236.0</v>
      </c>
      <c r="T59" s="25"/>
      <c r="U59" s="26"/>
      <c r="V59" s="21" t="s">
        <v>54</v>
      </c>
      <c r="W59" s="27"/>
      <c r="X59" s="21" t="s">
        <v>56</v>
      </c>
      <c r="Y59" s="21" t="s">
        <v>57</v>
      </c>
      <c r="Z59" s="21" t="s">
        <v>57</v>
      </c>
      <c r="AA59" s="28">
        <v>46268.0</v>
      </c>
      <c r="AB59" s="29"/>
      <c r="AC59" s="30"/>
      <c r="AD59" s="25"/>
      <c r="AE59" s="29"/>
      <c r="AF59" s="29"/>
      <c r="AG59" s="29"/>
      <c r="AH59" s="26"/>
      <c r="AI59" s="26"/>
    </row>
    <row r="60" ht="19.5" customHeight="1">
      <c r="A60" s="20">
        <v>59.0</v>
      </c>
      <c r="B60" s="20">
        <f t="shared" si="1"/>
        <v>59</v>
      </c>
      <c r="C60" s="21" t="s">
        <v>43</v>
      </c>
      <c r="D60" s="21" t="s">
        <v>92</v>
      </c>
      <c r="E60" s="21" t="s">
        <v>45</v>
      </c>
      <c r="F60" s="21" t="s">
        <v>47</v>
      </c>
      <c r="G60" s="21" t="s">
        <v>225</v>
      </c>
      <c r="H60" s="33" t="s">
        <v>226</v>
      </c>
      <c r="I60" s="21" t="s">
        <v>123</v>
      </c>
      <c r="J60" s="28">
        <v>46297.0</v>
      </c>
      <c r="K60" s="28">
        <v>46297.0</v>
      </c>
      <c r="L60" s="24"/>
      <c r="M60" s="24"/>
      <c r="N60" s="25"/>
      <c r="O60" s="21" t="s">
        <v>82</v>
      </c>
      <c r="P60" s="21" t="s">
        <v>85</v>
      </c>
      <c r="Q60" s="21">
        <v>1.0</v>
      </c>
      <c r="R60" s="25"/>
      <c r="S60" s="28">
        <v>46236.0</v>
      </c>
      <c r="T60" s="25"/>
      <c r="U60" s="26"/>
      <c r="V60" s="21" t="s">
        <v>54</v>
      </c>
      <c r="W60" s="27"/>
      <c r="X60" s="21" t="s">
        <v>56</v>
      </c>
      <c r="Y60" s="21" t="s">
        <v>57</v>
      </c>
      <c r="Z60" s="21" t="s">
        <v>57</v>
      </c>
      <c r="AA60" s="28">
        <v>46268.0</v>
      </c>
      <c r="AB60" s="29"/>
      <c r="AC60" s="30"/>
      <c r="AD60" s="25"/>
      <c r="AE60" s="29"/>
      <c r="AF60" s="29"/>
      <c r="AG60" s="29"/>
      <c r="AH60" s="26"/>
      <c r="AI60" s="26"/>
    </row>
    <row r="61" ht="19.5" customHeight="1">
      <c r="A61" s="20">
        <v>60.0</v>
      </c>
      <c r="B61" s="20">
        <f t="shared" si="1"/>
        <v>60</v>
      </c>
      <c r="C61" s="21" t="s">
        <v>43</v>
      </c>
      <c r="D61" s="21" t="s">
        <v>92</v>
      </c>
      <c r="E61" s="21" t="s">
        <v>45</v>
      </c>
      <c r="F61" s="21" t="s">
        <v>47</v>
      </c>
      <c r="G61" s="21" t="s">
        <v>227</v>
      </c>
      <c r="H61" s="33" t="s">
        <v>228</v>
      </c>
      <c r="I61" s="21" t="s">
        <v>95</v>
      </c>
      <c r="J61" s="28">
        <v>46299.0</v>
      </c>
      <c r="K61" s="28">
        <v>46302.0</v>
      </c>
      <c r="L61" s="24"/>
      <c r="M61" s="24"/>
      <c r="N61" s="25"/>
      <c r="O61" s="21" t="s">
        <v>82</v>
      </c>
      <c r="P61" s="21" t="s">
        <v>85</v>
      </c>
      <c r="Q61" s="21">
        <v>1.0</v>
      </c>
      <c r="R61" s="25"/>
      <c r="S61" s="28">
        <v>46236.0</v>
      </c>
      <c r="T61" s="25"/>
      <c r="U61" s="26"/>
      <c r="V61" s="21" t="s">
        <v>54</v>
      </c>
      <c r="W61" s="27"/>
      <c r="X61" s="21" t="s">
        <v>56</v>
      </c>
      <c r="Y61" s="21" t="s">
        <v>57</v>
      </c>
      <c r="Z61" s="21" t="s">
        <v>57</v>
      </c>
      <c r="AA61" s="28">
        <v>46268.0</v>
      </c>
      <c r="AB61" s="29"/>
      <c r="AC61" s="30"/>
      <c r="AD61" s="25"/>
      <c r="AE61" s="29"/>
      <c r="AF61" s="29"/>
      <c r="AG61" s="29"/>
      <c r="AH61" s="26"/>
      <c r="AI61" s="26"/>
    </row>
    <row r="62" ht="19.5" customHeight="1">
      <c r="A62" s="20">
        <v>61.0</v>
      </c>
      <c r="B62" s="20">
        <f t="shared" si="1"/>
        <v>61</v>
      </c>
      <c r="C62" s="21" t="s">
        <v>43</v>
      </c>
      <c r="D62" s="21" t="s">
        <v>92</v>
      </c>
      <c r="E62" s="21" t="s">
        <v>45</v>
      </c>
      <c r="F62" s="21" t="s">
        <v>47</v>
      </c>
      <c r="G62" s="21" t="s">
        <v>229</v>
      </c>
      <c r="H62" s="33" t="s">
        <v>230</v>
      </c>
      <c r="I62" s="21" t="s">
        <v>95</v>
      </c>
      <c r="J62" s="28">
        <v>46302.0</v>
      </c>
      <c r="K62" s="28">
        <v>46303.0</v>
      </c>
      <c r="L62" s="24"/>
      <c r="M62" s="24"/>
      <c r="N62" s="25"/>
      <c r="O62" s="21" t="s">
        <v>82</v>
      </c>
      <c r="P62" s="21" t="s">
        <v>85</v>
      </c>
      <c r="Q62" s="21">
        <v>1.0</v>
      </c>
      <c r="R62" s="25"/>
      <c r="S62" s="28">
        <v>46236.0</v>
      </c>
      <c r="T62" s="25"/>
      <c r="U62" s="26"/>
      <c r="V62" s="21" t="s">
        <v>54</v>
      </c>
      <c r="W62" s="27"/>
      <c r="X62" s="21" t="s">
        <v>56</v>
      </c>
      <c r="Y62" s="21" t="s">
        <v>57</v>
      </c>
      <c r="Z62" s="21" t="s">
        <v>57</v>
      </c>
      <c r="AA62" s="28">
        <v>46268.0</v>
      </c>
      <c r="AB62" s="29"/>
      <c r="AC62" s="30"/>
      <c r="AD62" s="25"/>
      <c r="AE62" s="29"/>
      <c r="AF62" s="29"/>
      <c r="AG62" s="29"/>
      <c r="AH62" s="26"/>
      <c r="AI62" s="26"/>
    </row>
    <row r="63" ht="19.5" customHeight="1">
      <c r="A63" s="20">
        <v>62.0</v>
      </c>
      <c r="B63" s="20">
        <f t="shared" si="1"/>
        <v>62</v>
      </c>
      <c r="C63" s="21" t="s">
        <v>43</v>
      </c>
      <c r="D63" s="21" t="s">
        <v>231</v>
      </c>
      <c r="E63" s="21" t="s">
        <v>45</v>
      </c>
      <c r="F63" s="21" t="s">
        <v>47</v>
      </c>
      <c r="G63" s="21" t="s">
        <v>232</v>
      </c>
      <c r="H63" s="22" t="s">
        <v>52</v>
      </c>
      <c r="I63" s="21" t="s">
        <v>53</v>
      </c>
      <c r="J63" s="23">
        <v>46283.0</v>
      </c>
      <c r="K63" s="23">
        <v>46288.0</v>
      </c>
      <c r="L63" s="24"/>
      <c r="M63" s="24"/>
      <c r="N63" s="25"/>
      <c r="O63" s="21" t="s">
        <v>54</v>
      </c>
      <c r="P63" s="21" t="s">
        <v>55</v>
      </c>
      <c r="Q63" s="21">
        <v>1.0</v>
      </c>
      <c r="R63" s="25"/>
      <c r="S63" s="23">
        <v>46246.0</v>
      </c>
      <c r="T63" s="25"/>
      <c r="U63" s="26"/>
      <c r="V63" s="21" t="s">
        <v>54</v>
      </c>
      <c r="W63" s="27"/>
      <c r="X63" s="21" t="s">
        <v>56</v>
      </c>
      <c r="Y63" s="21" t="s">
        <v>57</v>
      </c>
      <c r="Z63" s="25"/>
      <c r="AA63" s="28">
        <v>46268.0</v>
      </c>
      <c r="AB63" s="29"/>
      <c r="AC63" s="30"/>
      <c r="AD63" s="25"/>
      <c r="AE63" s="29"/>
      <c r="AF63" s="29"/>
      <c r="AG63" s="29"/>
      <c r="AH63" s="26"/>
      <c r="AI63" s="26"/>
    </row>
    <row r="64" ht="19.5" customHeight="1">
      <c r="A64" s="20">
        <v>63.0</v>
      </c>
      <c r="B64" s="20">
        <f t="shared" si="1"/>
        <v>63</v>
      </c>
      <c r="C64" s="21" t="s">
        <v>43</v>
      </c>
      <c r="D64" s="21" t="s">
        <v>231</v>
      </c>
      <c r="E64" s="21" t="s">
        <v>45</v>
      </c>
      <c r="F64" s="21" t="s">
        <v>47</v>
      </c>
      <c r="G64" s="21" t="s">
        <v>233</v>
      </c>
      <c r="H64" s="22" t="s">
        <v>64</v>
      </c>
      <c r="I64" s="21" t="s">
        <v>66</v>
      </c>
      <c r="J64" s="23">
        <v>46295.0</v>
      </c>
      <c r="K64" s="23">
        <v>46305.0</v>
      </c>
      <c r="L64" s="24"/>
      <c r="M64" s="24"/>
      <c r="N64" s="25"/>
      <c r="O64" s="21" t="s">
        <v>54</v>
      </c>
      <c r="P64" s="21" t="s">
        <v>55</v>
      </c>
      <c r="Q64" s="21">
        <v>1.0</v>
      </c>
      <c r="R64" s="25"/>
      <c r="S64" s="23">
        <v>46246.0</v>
      </c>
      <c r="T64" s="25"/>
      <c r="U64" s="26"/>
      <c r="V64" s="21" t="s">
        <v>54</v>
      </c>
      <c r="W64" s="27"/>
      <c r="X64" s="21" t="s">
        <v>56</v>
      </c>
      <c r="Y64" s="21" t="s">
        <v>57</v>
      </c>
      <c r="Z64" s="25"/>
      <c r="AA64" s="28">
        <v>46268.0</v>
      </c>
      <c r="AB64" s="29"/>
      <c r="AC64" s="30"/>
      <c r="AD64" s="25"/>
      <c r="AE64" s="29"/>
      <c r="AF64" s="29"/>
      <c r="AG64" s="29"/>
      <c r="AH64" s="26"/>
      <c r="AI64" s="26"/>
    </row>
    <row r="65" ht="19.5" customHeight="1">
      <c r="A65" s="20">
        <v>64.0</v>
      </c>
      <c r="B65" s="20">
        <f t="shared" si="1"/>
        <v>64</v>
      </c>
      <c r="C65" s="21" t="s">
        <v>43</v>
      </c>
      <c r="D65" s="21" t="s">
        <v>231</v>
      </c>
      <c r="E65" s="21" t="s">
        <v>45</v>
      </c>
      <c r="F65" s="21" t="s">
        <v>47</v>
      </c>
      <c r="G65" s="21" t="s">
        <v>234</v>
      </c>
      <c r="H65" s="22" t="s">
        <v>72</v>
      </c>
      <c r="I65" s="21" t="s">
        <v>53</v>
      </c>
      <c r="J65" s="23">
        <v>46346.0</v>
      </c>
      <c r="K65" s="23">
        <v>46347.0</v>
      </c>
      <c r="L65" s="24"/>
      <c r="M65" s="24"/>
      <c r="N65" s="25"/>
      <c r="O65" s="21" t="s">
        <v>54</v>
      </c>
      <c r="P65" s="21" t="s">
        <v>55</v>
      </c>
      <c r="Q65" s="21">
        <v>1.0</v>
      </c>
      <c r="R65" s="25"/>
      <c r="S65" s="23">
        <v>46246.0</v>
      </c>
      <c r="T65" s="25"/>
      <c r="U65" s="26"/>
      <c r="V65" s="21" t="s">
        <v>54</v>
      </c>
      <c r="W65" s="27"/>
      <c r="X65" s="21" t="s">
        <v>56</v>
      </c>
      <c r="Y65" s="21" t="s">
        <v>57</v>
      </c>
      <c r="Z65" s="25"/>
      <c r="AA65" s="28">
        <v>46268.0</v>
      </c>
      <c r="AB65" s="29"/>
      <c r="AC65" s="30"/>
      <c r="AD65" s="25"/>
      <c r="AE65" s="29"/>
      <c r="AF65" s="29"/>
      <c r="AG65" s="29"/>
      <c r="AH65" s="26"/>
      <c r="AI65" s="26"/>
    </row>
    <row r="66" ht="19.5" customHeight="1">
      <c r="A66" s="20">
        <v>65.0</v>
      </c>
      <c r="B66" s="20">
        <f t="shared" si="1"/>
        <v>65</v>
      </c>
      <c r="C66" s="21" t="s">
        <v>43</v>
      </c>
      <c r="D66" s="21" t="s">
        <v>231</v>
      </c>
      <c r="E66" s="21" t="s">
        <v>45</v>
      </c>
      <c r="F66" s="21" t="s">
        <v>47</v>
      </c>
      <c r="G66" s="21" t="s">
        <v>235</v>
      </c>
      <c r="H66" s="22" t="s">
        <v>75</v>
      </c>
      <c r="I66" s="21" t="s">
        <v>66</v>
      </c>
      <c r="J66" s="23">
        <v>46267.0</v>
      </c>
      <c r="K66" s="23">
        <v>46282.0</v>
      </c>
      <c r="L66" s="24"/>
      <c r="M66" s="24"/>
      <c r="N66" s="25"/>
      <c r="O66" s="21" t="s">
        <v>54</v>
      </c>
      <c r="P66" s="21" t="s">
        <v>76</v>
      </c>
      <c r="Q66" s="21">
        <v>1.0</v>
      </c>
      <c r="R66" s="25"/>
      <c r="S66" s="23">
        <v>46246.0</v>
      </c>
      <c r="T66" s="25"/>
      <c r="U66" s="26"/>
      <c r="V66" s="21" t="s">
        <v>54</v>
      </c>
      <c r="W66" s="27"/>
      <c r="X66" s="21" t="s">
        <v>56</v>
      </c>
      <c r="Y66" s="21" t="s">
        <v>57</v>
      </c>
      <c r="Z66" s="25"/>
      <c r="AA66" s="28">
        <v>46268.0</v>
      </c>
      <c r="AB66" s="29"/>
      <c r="AC66" s="30"/>
      <c r="AD66" s="25"/>
      <c r="AE66" s="29"/>
      <c r="AF66" s="29"/>
      <c r="AG66" s="29"/>
      <c r="AH66" s="26"/>
      <c r="AI66" s="26"/>
    </row>
    <row r="67" ht="19.5" customHeight="1">
      <c r="A67" s="20">
        <v>66.0</v>
      </c>
      <c r="B67" s="20">
        <f t="shared" si="1"/>
        <v>66</v>
      </c>
      <c r="C67" s="21" t="s">
        <v>43</v>
      </c>
      <c r="D67" s="21" t="s">
        <v>231</v>
      </c>
      <c r="E67" s="21" t="s">
        <v>45</v>
      </c>
      <c r="F67" s="21" t="s">
        <v>47</v>
      </c>
      <c r="G67" s="21" t="s">
        <v>236</v>
      </c>
      <c r="H67" s="22" t="s">
        <v>237</v>
      </c>
      <c r="I67" s="21" t="s">
        <v>66</v>
      </c>
      <c r="J67" s="23">
        <v>46337.0</v>
      </c>
      <c r="K67" s="23">
        <v>46340.0</v>
      </c>
      <c r="L67" s="24"/>
      <c r="M67" s="24"/>
      <c r="N67" s="25"/>
      <c r="O67" s="21" t="s">
        <v>54</v>
      </c>
      <c r="P67" s="21" t="s">
        <v>76</v>
      </c>
      <c r="Q67" s="21">
        <v>1.0</v>
      </c>
      <c r="R67" s="25"/>
      <c r="S67" s="23">
        <v>46246.0</v>
      </c>
      <c r="T67" s="25"/>
      <c r="U67" s="26"/>
      <c r="V67" s="21" t="s">
        <v>54</v>
      </c>
      <c r="W67" s="27"/>
      <c r="X67" s="21" t="s">
        <v>56</v>
      </c>
      <c r="Y67" s="21" t="s">
        <v>57</v>
      </c>
      <c r="Z67" s="25"/>
      <c r="AA67" s="28">
        <v>46268.0</v>
      </c>
      <c r="AB67" s="29"/>
      <c r="AC67" s="30"/>
      <c r="AD67" s="25"/>
      <c r="AE67" s="29"/>
      <c r="AF67" s="29"/>
      <c r="AG67" s="29"/>
      <c r="AH67" s="26"/>
      <c r="AI67" s="26"/>
    </row>
    <row r="68" ht="19.5" customHeight="1">
      <c r="A68" s="20">
        <v>67.0</v>
      </c>
      <c r="B68" s="20">
        <f t="shared" si="1"/>
        <v>67</v>
      </c>
      <c r="C68" s="21" t="s">
        <v>43</v>
      </c>
      <c r="D68" s="21" t="s">
        <v>231</v>
      </c>
      <c r="E68" s="21" t="s">
        <v>45</v>
      </c>
      <c r="F68" s="21" t="s">
        <v>79</v>
      </c>
      <c r="G68" s="21" t="s">
        <v>238</v>
      </c>
      <c r="H68" s="22" t="s">
        <v>239</v>
      </c>
      <c r="I68" s="21" t="s">
        <v>66</v>
      </c>
      <c r="J68" s="23">
        <v>46339.0</v>
      </c>
      <c r="K68" s="23">
        <v>46340.0</v>
      </c>
      <c r="L68" s="24"/>
      <c r="M68" s="24"/>
      <c r="N68" s="25"/>
      <c r="O68" s="21" t="s">
        <v>82</v>
      </c>
      <c r="P68" s="21" t="s">
        <v>76</v>
      </c>
      <c r="Q68" s="21">
        <v>1.0</v>
      </c>
      <c r="R68" s="25"/>
      <c r="S68" s="23">
        <v>46246.0</v>
      </c>
      <c r="T68" s="25"/>
      <c r="U68" s="26"/>
      <c r="V68" s="21" t="s">
        <v>54</v>
      </c>
      <c r="W68" s="27"/>
      <c r="X68" s="21" t="s">
        <v>56</v>
      </c>
      <c r="Y68" s="21" t="s">
        <v>57</v>
      </c>
      <c r="Z68" s="25"/>
      <c r="AA68" s="28">
        <v>46268.0</v>
      </c>
      <c r="AB68" s="29"/>
      <c r="AC68" s="30"/>
      <c r="AD68" s="25"/>
      <c r="AE68" s="29"/>
      <c r="AF68" s="29"/>
      <c r="AG68" s="29"/>
      <c r="AH68" s="26"/>
      <c r="AI68" s="26"/>
    </row>
    <row r="69" ht="19.5" customHeight="1">
      <c r="A69" s="20">
        <v>68.0</v>
      </c>
      <c r="B69" s="20">
        <f t="shared" si="1"/>
        <v>68</v>
      </c>
      <c r="C69" s="21" t="s">
        <v>43</v>
      </c>
      <c r="D69" s="21" t="s">
        <v>231</v>
      </c>
      <c r="E69" s="21" t="s">
        <v>45</v>
      </c>
      <c r="F69" s="21" t="s">
        <v>47</v>
      </c>
      <c r="G69" s="21" t="s">
        <v>240</v>
      </c>
      <c r="H69" s="22" t="s">
        <v>241</v>
      </c>
      <c r="I69" s="21" t="s">
        <v>66</v>
      </c>
      <c r="J69" s="23">
        <v>46340.0</v>
      </c>
      <c r="K69" s="23">
        <v>46344.0</v>
      </c>
      <c r="L69" s="24"/>
      <c r="M69" s="24"/>
      <c r="N69" s="25"/>
      <c r="O69" s="21" t="s">
        <v>54</v>
      </c>
      <c r="P69" s="21" t="s">
        <v>85</v>
      </c>
      <c r="Q69" s="21">
        <v>1.0</v>
      </c>
      <c r="R69" s="25"/>
      <c r="S69" s="23">
        <v>46246.0</v>
      </c>
      <c r="T69" s="25"/>
      <c r="U69" s="26"/>
      <c r="V69" s="21" t="s">
        <v>54</v>
      </c>
      <c r="W69" s="27"/>
      <c r="X69" s="21" t="s">
        <v>56</v>
      </c>
      <c r="Y69" s="21" t="s">
        <v>57</v>
      </c>
      <c r="Z69" s="25"/>
      <c r="AA69" s="28">
        <v>46268.0</v>
      </c>
      <c r="AB69" s="29"/>
      <c r="AC69" s="30"/>
      <c r="AD69" s="25"/>
      <c r="AE69" s="29"/>
      <c r="AF69" s="29"/>
      <c r="AG69" s="29"/>
      <c r="AH69" s="26"/>
      <c r="AI69" s="26"/>
    </row>
    <row r="70" ht="19.5" customHeight="1">
      <c r="A70" s="20">
        <v>69.0</v>
      </c>
      <c r="B70" s="20">
        <f t="shared" si="1"/>
        <v>69</v>
      </c>
      <c r="C70" s="21" t="s">
        <v>43</v>
      </c>
      <c r="D70" s="21" t="s">
        <v>231</v>
      </c>
      <c r="E70" s="21" t="s">
        <v>45</v>
      </c>
      <c r="F70" s="21" t="s">
        <v>79</v>
      </c>
      <c r="G70" s="21" t="s">
        <v>242</v>
      </c>
      <c r="H70" s="22" t="s">
        <v>243</v>
      </c>
      <c r="I70" s="21" t="s">
        <v>66</v>
      </c>
      <c r="J70" s="23">
        <v>46344.0</v>
      </c>
      <c r="K70" s="23">
        <v>46344.0</v>
      </c>
      <c r="L70" s="24"/>
      <c r="M70" s="24"/>
      <c r="N70" s="25"/>
      <c r="O70" s="21" t="s">
        <v>82</v>
      </c>
      <c r="P70" s="21" t="s">
        <v>76</v>
      </c>
      <c r="Q70" s="21">
        <v>1.0</v>
      </c>
      <c r="R70" s="25"/>
      <c r="S70" s="23">
        <v>46246.0</v>
      </c>
      <c r="T70" s="25"/>
      <c r="U70" s="26"/>
      <c r="V70" s="21" t="s">
        <v>54</v>
      </c>
      <c r="W70" s="27"/>
      <c r="X70" s="21" t="s">
        <v>56</v>
      </c>
      <c r="Y70" s="21" t="s">
        <v>57</v>
      </c>
      <c r="Z70" s="25"/>
      <c r="AA70" s="28">
        <v>46268.0</v>
      </c>
      <c r="AB70" s="29"/>
      <c r="AC70" s="30"/>
      <c r="AD70" s="25"/>
      <c r="AE70" s="29"/>
      <c r="AF70" s="29"/>
      <c r="AG70" s="29"/>
      <c r="AH70" s="26"/>
      <c r="AI70" s="26"/>
    </row>
    <row r="71" ht="19.5" customHeight="1">
      <c r="A71" s="20">
        <v>70.0</v>
      </c>
      <c r="B71" s="20">
        <f t="shared" si="1"/>
        <v>70</v>
      </c>
      <c r="C71" s="21" t="s">
        <v>43</v>
      </c>
      <c r="D71" s="21" t="s">
        <v>231</v>
      </c>
      <c r="E71" s="21" t="s">
        <v>45</v>
      </c>
      <c r="F71" s="21" t="s">
        <v>47</v>
      </c>
      <c r="G71" s="21" t="s">
        <v>244</v>
      </c>
      <c r="H71" s="22" t="s">
        <v>89</v>
      </c>
      <c r="I71" s="21" t="s">
        <v>66</v>
      </c>
      <c r="J71" s="23">
        <v>46316.0</v>
      </c>
      <c r="K71" s="23">
        <v>46324.0</v>
      </c>
      <c r="L71" s="24"/>
      <c r="M71" s="24"/>
      <c r="N71" s="25"/>
      <c r="O71" s="21" t="s">
        <v>54</v>
      </c>
      <c r="P71" s="21" t="s">
        <v>55</v>
      </c>
      <c r="Q71" s="21">
        <v>1.0</v>
      </c>
      <c r="R71" s="25"/>
      <c r="S71" s="23">
        <v>46246.0</v>
      </c>
      <c r="T71" s="25"/>
      <c r="U71" s="26"/>
      <c r="V71" s="21" t="s">
        <v>54</v>
      </c>
      <c r="W71" s="27"/>
      <c r="X71" s="21" t="s">
        <v>56</v>
      </c>
      <c r="Y71" s="21" t="s">
        <v>57</v>
      </c>
      <c r="Z71" s="25"/>
      <c r="AA71" s="28">
        <v>46268.0</v>
      </c>
      <c r="AB71" s="29"/>
      <c r="AC71" s="30"/>
      <c r="AD71" s="25"/>
      <c r="AE71" s="29"/>
      <c r="AF71" s="29"/>
      <c r="AG71" s="29"/>
      <c r="AH71" s="26"/>
      <c r="AI71" s="26"/>
    </row>
    <row r="72" ht="19.5" customHeight="1">
      <c r="A72" s="20">
        <v>71.0</v>
      </c>
      <c r="B72" s="20">
        <f t="shared" si="1"/>
        <v>71</v>
      </c>
      <c r="C72" s="21" t="s">
        <v>245</v>
      </c>
      <c r="D72" s="20" t="s">
        <v>246</v>
      </c>
      <c r="E72" s="21" t="s">
        <v>45</v>
      </c>
      <c r="F72" s="21" t="s">
        <v>47</v>
      </c>
      <c r="G72" s="21" t="s">
        <v>247</v>
      </c>
      <c r="H72" s="22" t="s">
        <v>248</v>
      </c>
      <c r="I72" s="21" t="s">
        <v>249</v>
      </c>
      <c r="J72" s="66">
        <v>46338.0</v>
      </c>
      <c r="K72" s="66">
        <v>46341.0</v>
      </c>
      <c r="L72" s="67"/>
      <c r="M72" s="67"/>
      <c r="N72" s="21" t="s">
        <v>250</v>
      </c>
      <c r="O72" s="20" t="s">
        <v>54</v>
      </c>
      <c r="P72" s="20" t="s">
        <v>55</v>
      </c>
      <c r="Q72" s="20" t="s">
        <v>251</v>
      </c>
      <c r="R72" s="68"/>
      <c r="S72" s="28">
        <v>46264.0</v>
      </c>
      <c r="T72" s="68"/>
      <c r="U72" s="69"/>
      <c r="V72" s="20" t="s">
        <v>54</v>
      </c>
      <c r="W72" s="70"/>
      <c r="X72" s="21" t="s">
        <v>56</v>
      </c>
      <c r="Y72" s="20" t="s">
        <v>82</v>
      </c>
      <c r="Z72" s="20" t="s">
        <v>82</v>
      </c>
      <c r="AA72" s="28">
        <v>46268.0</v>
      </c>
      <c r="AB72" s="28">
        <v>46268.0</v>
      </c>
      <c r="AC72" s="30" t="s">
        <v>346</v>
      </c>
      <c r="AD72" s="20" t="s">
        <v>182</v>
      </c>
      <c r="AE72" s="66">
        <v>46268.0</v>
      </c>
      <c r="AF72" s="66">
        <v>46268.0</v>
      </c>
      <c r="AG72" s="71"/>
      <c r="AH72" s="69"/>
      <c r="AI72" s="69"/>
    </row>
    <row r="73" ht="19.5" customHeight="1">
      <c r="A73" s="20">
        <v>72.0</v>
      </c>
      <c r="B73" s="20">
        <f t="shared" si="1"/>
        <v>72</v>
      </c>
      <c r="C73" s="21" t="s">
        <v>245</v>
      </c>
      <c r="D73" s="20" t="s">
        <v>246</v>
      </c>
      <c r="E73" s="21" t="s">
        <v>45</v>
      </c>
      <c r="F73" s="21" t="s">
        <v>47</v>
      </c>
      <c r="G73" s="21" t="s">
        <v>252</v>
      </c>
      <c r="H73" s="22" t="s">
        <v>253</v>
      </c>
      <c r="I73" s="21" t="s">
        <v>249</v>
      </c>
      <c r="J73" s="66">
        <v>46372.0</v>
      </c>
      <c r="K73" s="66">
        <v>46374.0</v>
      </c>
      <c r="L73" s="67"/>
      <c r="M73" s="67"/>
      <c r="N73" s="21" t="s">
        <v>254</v>
      </c>
      <c r="O73" s="20" t="s">
        <v>54</v>
      </c>
      <c r="P73" s="20" t="s">
        <v>55</v>
      </c>
      <c r="Q73" s="20" t="s">
        <v>251</v>
      </c>
      <c r="R73" s="68"/>
      <c r="S73" s="28">
        <v>46264.0</v>
      </c>
      <c r="T73" s="68"/>
      <c r="U73" s="69"/>
      <c r="V73" s="20" t="s">
        <v>54</v>
      </c>
      <c r="W73" s="70"/>
      <c r="X73" s="21" t="s">
        <v>56</v>
      </c>
      <c r="Y73" s="20" t="s">
        <v>54</v>
      </c>
      <c r="Z73" s="68"/>
      <c r="AA73" s="29"/>
      <c r="AB73" s="29"/>
      <c r="AC73" s="30"/>
      <c r="AD73" s="68"/>
      <c r="AE73" s="71"/>
      <c r="AF73" s="71"/>
      <c r="AG73" s="71"/>
      <c r="AH73" s="69"/>
      <c r="AI73" s="69"/>
    </row>
    <row r="74" ht="19.5" customHeight="1">
      <c r="A74" s="20">
        <v>73.0</v>
      </c>
      <c r="B74" s="20">
        <f t="shared" si="1"/>
        <v>73</v>
      </c>
      <c r="C74" s="21" t="s">
        <v>245</v>
      </c>
      <c r="D74" s="20" t="s">
        <v>246</v>
      </c>
      <c r="E74" s="21" t="s">
        <v>45</v>
      </c>
      <c r="F74" s="21" t="s">
        <v>47</v>
      </c>
      <c r="G74" s="21" t="s">
        <v>255</v>
      </c>
      <c r="H74" s="22" t="s">
        <v>256</v>
      </c>
      <c r="I74" s="21" t="s">
        <v>249</v>
      </c>
      <c r="J74" s="66">
        <v>46344.0</v>
      </c>
      <c r="K74" s="66">
        <v>46345.0</v>
      </c>
      <c r="L74" s="67"/>
      <c r="M74" s="67"/>
      <c r="N74" s="21" t="s">
        <v>257</v>
      </c>
      <c r="O74" s="20" t="s">
        <v>54</v>
      </c>
      <c r="P74" s="20" t="s">
        <v>55</v>
      </c>
      <c r="Q74" s="20" t="s">
        <v>251</v>
      </c>
      <c r="R74" s="68"/>
      <c r="S74" s="28">
        <v>46264.0</v>
      </c>
      <c r="T74" s="68"/>
      <c r="U74" s="69"/>
      <c r="V74" s="20" t="s">
        <v>54</v>
      </c>
      <c r="W74" s="70"/>
      <c r="X74" s="21" t="s">
        <v>56</v>
      </c>
      <c r="Y74" s="20" t="s">
        <v>82</v>
      </c>
      <c r="Z74" s="20" t="s">
        <v>82</v>
      </c>
      <c r="AA74" s="28">
        <v>46268.0</v>
      </c>
      <c r="AB74" s="28">
        <v>46268.0</v>
      </c>
      <c r="AC74" s="30" t="s">
        <v>346</v>
      </c>
      <c r="AD74" s="20" t="s">
        <v>152</v>
      </c>
      <c r="AE74" s="71"/>
      <c r="AF74" s="71"/>
      <c r="AG74" s="71"/>
      <c r="AH74" s="69"/>
      <c r="AI74" s="69"/>
    </row>
    <row r="75" ht="19.5" customHeight="1">
      <c r="A75" s="20">
        <v>74.0</v>
      </c>
      <c r="B75" s="20">
        <f t="shared" si="1"/>
        <v>74</v>
      </c>
      <c r="C75" s="21" t="s">
        <v>245</v>
      </c>
      <c r="D75" s="20" t="s">
        <v>246</v>
      </c>
      <c r="E75" s="21" t="s">
        <v>45</v>
      </c>
      <c r="F75" s="21" t="s">
        <v>47</v>
      </c>
      <c r="G75" s="21" t="s">
        <v>258</v>
      </c>
      <c r="H75" s="22" t="s">
        <v>259</v>
      </c>
      <c r="I75" s="21" t="s">
        <v>249</v>
      </c>
      <c r="J75" s="66">
        <v>46346.0</v>
      </c>
      <c r="K75" s="66">
        <v>46348.0</v>
      </c>
      <c r="L75" s="67"/>
      <c r="M75" s="67"/>
      <c r="N75" s="21" t="s">
        <v>260</v>
      </c>
      <c r="O75" s="20" t="s">
        <v>54</v>
      </c>
      <c r="P75" s="20" t="s">
        <v>55</v>
      </c>
      <c r="Q75" s="20" t="s">
        <v>251</v>
      </c>
      <c r="R75" s="68"/>
      <c r="S75" s="28">
        <v>46264.0</v>
      </c>
      <c r="T75" s="68"/>
      <c r="U75" s="69"/>
      <c r="V75" s="20" t="s">
        <v>54</v>
      </c>
      <c r="W75" s="70"/>
      <c r="X75" s="21" t="s">
        <v>56</v>
      </c>
      <c r="Y75" s="20" t="s">
        <v>82</v>
      </c>
      <c r="Z75" s="20" t="s">
        <v>82</v>
      </c>
      <c r="AA75" s="28">
        <v>46268.0</v>
      </c>
      <c r="AB75" s="28">
        <v>46268.0</v>
      </c>
      <c r="AC75" s="30" t="s">
        <v>346</v>
      </c>
      <c r="AD75" s="20" t="s">
        <v>151</v>
      </c>
      <c r="AE75" s="71"/>
      <c r="AF75" s="71"/>
      <c r="AG75" s="71"/>
      <c r="AH75" s="69"/>
      <c r="AI75" s="69"/>
    </row>
    <row r="76" ht="19.5" customHeight="1">
      <c r="A76" s="20">
        <v>75.0</v>
      </c>
      <c r="B76" s="20">
        <f t="shared" si="1"/>
        <v>75</v>
      </c>
      <c r="C76" s="21" t="s">
        <v>245</v>
      </c>
      <c r="D76" s="20" t="s">
        <v>246</v>
      </c>
      <c r="E76" s="21" t="s">
        <v>45</v>
      </c>
      <c r="F76" s="21" t="s">
        <v>47</v>
      </c>
      <c r="G76" s="21" t="s">
        <v>261</v>
      </c>
      <c r="H76" s="22" t="s">
        <v>262</v>
      </c>
      <c r="I76" s="21" t="s">
        <v>249</v>
      </c>
      <c r="J76" s="66">
        <v>46351.0</v>
      </c>
      <c r="K76" s="66">
        <v>46353.0</v>
      </c>
      <c r="L76" s="67"/>
      <c r="M76" s="67"/>
      <c r="N76" s="21" t="s">
        <v>263</v>
      </c>
      <c r="O76" s="20" t="s">
        <v>54</v>
      </c>
      <c r="P76" s="20" t="s">
        <v>55</v>
      </c>
      <c r="Q76" s="20" t="s">
        <v>251</v>
      </c>
      <c r="R76" s="68"/>
      <c r="S76" s="28">
        <v>46264.0</v>
      </c>
      <c r="T76" s="68"/>
      <c r="U76" s="69"/>
      <c r="V76" s="20" t="s">
        <v>54</v>
      </c>
      <c r="W76" s="70"/>
      <c r="X76" s="21" t="s">
        <v>56</v>
      </c>
      <c r="Y76" s="20" t="s">
        <v>82</v>
      </c>
      <c r="Z76" s="20" t="s">
        <v>82</v>
      </c>
      <c r="AA76" s="28">
        <v>46268.0</v>
      </c>
      <c r="AB76" s="28">
        <v>46268.0</v>
      </c>
      <c r="AC76" s="30" t="s">
        <v>346</v>
      </c>
      <c r="AD76" s="20" t="s">
        <v>182</v>
      </c>
      <c r="AE76" s="66">
        <v>46268.0</v>
      </c>
      <c r="AF76" s="66">
        <v>46268.0</v>
      </c>
      <c r="AG76" s="71"/>
      <c r="AH76" s="69"/>
      <c r="AI76" s="69"/>
    </row>
    <row r="77" ht="19.5" customHeight="1">
      <c r="A77" s="20">
        <v>76.0</v>
      </c>
      <c r="B77" s="20">
        <f t="shared" si="1"/>
        <v>76</v>
      </c>
      <c r="C77" s="21" t="s">
        <v>245</v>
      </c>
      <c r="D77" s="20" t="s">
        <v>246</v>
      </c>
      <c r="E77" s="21" t="s">
        <v>45</v>
      </c>
      <c r="F77" s="21" t="s">
        <v>47</v>
      </c>
      <c r="G77" s="21" t="s">
        <v>264</v>
      </c>
      <c r="H77" s="22" t="s">
        <v>265</v>
      </c>
      <c r="I77" s="21" t="s">
        <v>249</v>
      </c>
      <c r="J77" s="66">
        <v>46354.0</v>
      </c>
      <c r="K77" s="66">
        <v>46355.0</v>
      </c>
      <c r="L77" s="67"/>
      <c r="M77" s="67"/>
      <c r="N77" s="21" t="s">
        <v>266</v>
      </c>
      <c r="O77" s="20" t="s">
        <v>54</v>
      </c>
      <c r="P77" s="20" t="s">
        <v>55</v>
      </c>
      <c r="Q77" s="20" t="s">
        <v>251</v>
      </c>
      <c r="R77" s="68"/>
      <c r="S77" s="28">
        <v>46264.0</v>
      </c>
      <c r="T77" s="68"/>
      <c r="U77" s="69"/>
      <c r="V77" s="20" t="s">
        <v>54</v>
      </c>
      <c r="W77" s="70"/>
      <c r="X77" s="21" t="s">
        <v>56</v>
      </c>
      <c r="Y77" s="20" t="s">
        <v>82</v>
      </c>
      <c r="Z77" s="20" t="s">
        <v>82</v>
      </c>
      <c r="AA77" s="28">
        <v>46268.0</v>
      </c>
      <c r="AB77" s="28">
        <v>46268.0</v>
      </c>
      <c r="AC77" s="30" t="s">
        <v>346</v>
      </c>
      <c r="AD77" s="20" t="s">
        <v>151</v>
      </c>
      <c r="AE77" s="71"/>
      <c r="AF77" s="71"/>
      <c r="AG77" s="71"/>
      <c r="AH77" s="69"/>
      <c r="AI77" s="69"/>
    </row>
    <row r="78" ht="19.5" customHeight="1">
      <c r="A78" s="20">
        <v>77.0</v>
      </c>
      <c r="B78" s="20">
        <f t="shared" si="1"/>
        <v>77</v>
      </c>
      <c r="C78" s="21" t="s">
        <v>245</v>
      </c>
      <c r="D78" s="20" t="s">
        <v>246</v>
      </c>
      <c r="E78" s="21" t="s">
        <v>45</v>
      </c>
      <c r="F78" s="21" t="s">
        <v>47</v>
      </c>
      <c r="G78" s="21" t="s">
        <v>267</v>
      </c>
      <c r="H78" s="22" t="s">
        <v>268</v>
      </c>
      <c r="I78" s="21" t="s">
        <v>249</v>
      </c>
      <c r="J78" s="66">
        <v>46355.0</v>
      </c>
      <c r="K78" s="66">
        <v>46358.0</v>
      </c>
      <c r="L78" s="67"/>
      <c r="M78" s="67"/>
      <c r="N78" s="21" t="s">
        <v>270</v>
      </c>
      <c r="O78" s="20" t="s">
        <v>54</v>
      </c>
      <c r="P78" s="20" t="s">
        <v>55</v>
      </c>
      <c r="Q78" s="20" t="s">
        <v>251</v>
      </c>
      <c r="R78" s="68"/>
      <c r="S78" s="28">
        <v>46264.0</v>
      </c>
      <c r="T78" s="68"/>
      <c r="U78" s="69"/>
      <c r="V78" s="20" t="s">
        <v>54</v>
      </c>
      <c r="W78" s="70"/>
      <c r="X78" s="21" t="s">
        <v>56</v>
      </c>
      <c r="Y78" s="20" t="s">
        <v>82</v>
      </c>
      <c r="Z78" s="20" t="s">
        <v>82</v>
      </c>
      <c r="AA78" s="28">
        <v>46268.0</v>
      </c>
      <c r="AB78" s="28">
        <v>46268.0</v>
      </c>
      <c r="AC78" s="30" t="s">
        <v>346</v>
      </c>
      <c r="AD78" s="20" t="s">
        <v>152</v>
      </c>
      <c r="AE78" s="71"/>
      <c r="AF78" s="71"/>
      <c r="AG78" s="71"/>
      <c r="AH78" s="69"/>
      <c r="AI78" s="69"/>
    </row>
    <row r="79" ht="19.5" customHeight="1">
      <c r="A79" s="20">
        <v>78.0</v>
      </c>
      <c r="B79" s="20">
        <f t="shared" si="1"/>
        <v>78</v>
      </c>
      <c r="C79" s="21" t="s">
        <v>245</v>
      </c>
      <c r="D79" s="20" t="s">
        <v>246</v>
      </c>
      <c r="E79" s="21" t="s">
        <v>45</v>
      </c>
      <c r="F79" s="21" t="s">
        <v>47</v>
      </c>
      <c r="G79" s="21" t="s">
        <v>271</v>
      </c>
      <c r="H79" s="22" t="s">
        <v>272</v>
      </c>
      <c r="I79" s="21" t="s">
        <v>249</v>
      </c>
      <c r="J79" s="66">
        <v>46359.0</v>
      </c>
      <c r="K79" s="66">
        <v>46360.0</v>
      </c>
      <c r="L79" s="67"/>
      <c r="M79" s="67"/>
      <c r="N79" s="21" t="s">
        <v>273</v>
      </c>
      <c r="O79" s="20" t="s">
        <v>54</v>
      </c>
      <c r="P79" s="20" t="s">
        <v>55</v>
      </c>
      <c r="Q79" s="20" t="s">
        <v>251</v>
      </c>
      <c r="R79" s="68"/>
      <c r="S79" s="28">
        <v>46264.0</v>
      </c>
      <c r="T79" s="68"/>
      <c r="U79" s="69"/>
      <c r="V79" s="20" t="s">
        <v>54</v>
      </c>
      <c r="W79" s="70"/>
      <c r="X79" s="21" t="s">
        <v>56</v>
      </c>
      <c r="Y79" s="20" t="s">
        <v>82</v>
      </c>
      <c r="Z79" s="20" t="s">
        <v>82</v>
      </c>
      <c r="AA79" s="28">
        <v>46268.0</v>
      </c>
      <c r="AB79" s="28">
        <v>46268.0</v>
      </c>
      <c r="AC79" s="30" t="s">
        <v>346</v>
      </c>
      <c r="AD79" s="20" t="s">
        <v>152</v>
      </c>
      <c r="AE79" s="71"/>
      <c r="AF79" s="71"/>
      <c r="AG79" s="71"/>
      <c r="AH79" s="69"/>
      <c r="AI79" s="69"/>
    </row>
    <row r="80" ht="19.5" customHeight="1">
      <c r="A80" s="20">
        <v>79.0</v>
      </c>
      <c r="B80" s="20">
        <f t="shared" si="1"/>
        <v>79</v>
      </c>
      <c r="C80" s="21" t="s">
        <v>245</v>
      </c>
      <c r="D80" s="20" t="s">
        <v>246</v>
      </c>
      <c r="E80" s="21" t="s">
        <v>45</v>
      </c>
      <c r="F80" s="21" t="s">
        <v>47</v>
      </c>
      <c r="G80" s="21" t="s">
        <v>274</v>
      </c>
      <c r="H80" s="22" t="s">
        <v>275</v>
      </c>
      <c r="I80" s="21" t="s">
        <v>249</v>
      </c>
      <c r="J80" s="66">
        <v>46361.0</v>
      </c>
      <c r="K80" s="66">
        <v>46362.0</v>
      </c>
      <c r="L80" s="67"/>
      <c r="M80" s="67"/>
      <c r="N80" s="21" t="s">
        <v>276</v>
      </c>
      <c r="O80" s="20" t="s">
        <v>54</v>
      </c>
      <c r="P80" s="20" t="s">
        <v>55</v>
      </c>
      <c r="Q80" s="20" t="s">
        <v>251</v>
      </c>
      <c r="R80" s="68"/>
      <c r="S80" s="28">
        <v>46264.0</v>
      </c>
      <c r="T80" s="68"/>
      <c r="U80" s="69"/>
      <c r="V80" s="20" t="s">
        <v>54</v>
      </c>
      <c r="W80" s="70"/>
      <c r="X80" s="21" t="s">
        <v>56</v>
      </c>
      <c r="Y80" s="20" t="s">
        <v>82</v>
      </c>
      <c r="Z80" s="20" t="s">
        <v>82</v>
      </c>
      <c r="AA80" s="28">
        <v>46268.0</v>
      </c>
      <c r="AB80" s="28">
        <v>46268.0</v>
      </c>
      <c r="AC80" s="30" t="s">
        <v>346</v>
      </c>
      <c r="AD80" s="20" t="s">
        <v>152</v>
      </c>
      <c r="AE80" s="71"/>
      <c r="AF80" s="71"/>
      <c r="AG80" s="71"/>
      <c r="AH80" s="69"/>
      <c r="AI80" s="69"/>
    </row>
    <row r="81" ht="19.5" customHeight="1">
      <c r="A81" s="20">
        <v>80.0</v>
      </c>
      <c r="B81" s="20">
        <f t="shared" si="1"/>
        <v>80</v>
      </c>
      <c r="C81" s="21" t="s">
        <v>245</v>
      </c>
      <c r="D81" s="20" t="s">
        <v>246</v>
      </c>
      <c r="E81" s="21" t="s">
        <v>45</v>
      </c>
      <c r="F81" s="21" t="s">
        <v>47</v>
      </c>
      <c r="G81" s="21" t="s">
        <v>277</v>
      </c>
      <c r="H81" s="22" t="s">
        <v>278</v>
      </c>
      <c r="I81" s="21" t="s">
        <v>249</v>
      </c>
      <c r="J81" s="66">
        <v>46362.0</v>
      </c>
      <c r="K81" s="66">
        <v>46365.0</v>
      </c>
      <c r="L81" s="67"/>
      <c r="M81" s="67"/>
      <c r="N81" s="21" t="s">
        <v>279</v>
      </c>
      <c r="O81" s="20" t="s">
        <v>54</v>
      </c>
      <c r="P81" s="20" t="s">
        <v>55</v>
      </c>
      <c r="Q81" s="20" t="s">
        <v>251</v>
      </c>
      <c r="R81" s="68"/>
      <c r="S81" s="28">
        <v>46264.0</v>
      </c>
      <c r="T81" s="68"/>
      <c r="U81" s="69"/>
      <c r="V81" s="20" t="s">
        <v>54</v>
      </c>
      <c r="W81" s="70"/>
      <c r="X81" s="21" t="s">
        <v>56</v>
      </c>
      <c r="Y81" s="20" t="s">
        <v>82</v>
      </c>
      <c r="Z81" s="20" t="s">
        <v>82</v>
      </c>
      <c r="AA81" s="28">
        <v>46268.0</v>
      </c>
      <c r="AB81" s="28">
        <v>46268.0</v>
      </c>
      <c r="AC81" s="30" t="s">
        <v>346</v>
      </c>
      <c r="AD81" s="20" t="s">
        <v>151</v>
      </c>
      <c r="AE81" s="71"/>
      <c r="AF81" s="71"/>
      <c r="AG81" s="71"/>
      <c r="AH81" s="69"/>
      <c r="AI81" s="69"/>
    </row>
    <row r="82" ht="19.5" customHeight="1">
      <c r="A82" s="20">
        <v>81.0</v>
      </c>
      <c r="B82" s="20">
        <f t="shared" si="1"/>
        <v>81</v>
      </c>
      <c r="C82" s="21" t="s">
        <v>245</v>
      </c>
      <c r="D82" s="20" t="s">
        <v>246</v>
      </c>
      <c r="E82" s="21" t="s">
        <v>45</v>
      </c>
      <c r="F82" s="21" t="s">
        <v>47</v>
      </c>
      <c r="G82" s="21" t="s">
        <v>280</v>
      </c>
      <c r="H82" s="22" t="s">
        <v>281</v>
      </c>
      <c r="I82" s="21" t="s">
        <v>249</v>
      </c>
      <c r="J82" s="66">
        <v>46366.0</v>
      </c>
      <c r="K82" s="66">
        <v>46368.0</v>
      </c>
      <c r="L82" s="67"/>
      <c r="M82" s="67"/>
      <c r="N82" s="21" t="s">
        <v>282</v>
      </c>
      <c r="O82" s="20" t="s">
        <v>54</v>
      </c>
      <c r="P82" s="20" t="s">
        <v>55</v>
      </c>
      <c r="Q82" s="20" t="s">
        <v>251</v>
      </c>
      <c r="R82" s="68"/>
      <c r="S82" s="28">
        <v>46264.0</v>
      </c>
      <c r="T82" s="68"/>
      <c r="U82" s="69"/>
      <c r="V82" s="20" t="s">
        <v>54</v>
      </c>
      <c r="W82" s="70"/>
      <c r="X82" s="21" t="s">
        <v>56</v>
      </c>
      <c r="Y82" s="20" t="s">
        <v>82</v>
      </c>
      <c r="Z82" s="20" t="s">
        <v>82</v>
      </c>
      <c r="AA82" s="28">
        <v>46268.0</v>
      </c>
      <c r="AB82" s="28">
        <v>46268.0</v>
      </c>
      <c r="AC82" s="30" t="s">
        <v>346</v>
      </c>
      <c r="AD82" s="20" t="s">
        <v>152</v>
      </c>
      <c r="AE82" s="71"/>
      <c r="AF82" s="71"/>
      <c r="AG82" s="71"/>
      <c r="AH82" s="69"/>
      <c r="AI82" s="69"/>
    </row>
    <row r="83" ht="19.5" customHeight="1">
      <c r="A83" s="20">
        <v>82.0</v>
      </c>
      <c r="B83" s="20">
        <f t="shared" si="1"/>
        <v>82</v>
      </c>
      <c r="C83" s="21" t="s">
        <v>245</v>
      </c>
      <c r="D83" s="20" t="s">
        <v>246</v>
      </c>
      <c r="E83" s="21" t="s">
        <v>45</v>
      </c>
      <c r="F83" s="21" t="s">
        <v>47</v>
      </c>
      <c r="G83" s="21" t="s">
        <v>283</v>
      </c>
      <c r="H83" s="22" t="s">
        <v>284</v>
      </c>
      <c r="I83" s="21" t="s">
        <v>249</v>
      </c>
      <c r="J83" s="66">
        <v>46270.0</v>
      </c>
      <c r="K83" s="66">
        <v>46271.0</v>
      </c>
      <c r="L83" s="67"/>
      <c r="M83" s="67"/>
      <c r="N83" s="21" t="s">
        <v>285</v>
      </c>
      <c r="O83" s="20" t="s">
        <v>54</v>
      </c>
      <c r="P83" s="20" t="s">
        <v>55</v>
      </c>
      <c r="Q83" s="20" t="s">
        <v>251</v>
      </c>
      <c r="R83" s="68"/>
      <c r="S83" s="28">
        <v>46264.0</v>
      </c>
      <c r="T83" s="68"/>
      <c r="U83" s="69"/>
      <c r="V83" s="20" t="s">
        <v>54</v>
      </c>
      <c r="W83" s="70"/>
      <c r="X83" s="21" t="s">
        <v>56</v>
      </c>
      <c r="Y83" s="20" t="s">
        <v>82</v>
      </c>
      <c r="Z83" s="20" t="s">
        <v>82</v>
      </c>
      <c r="AA83" s="28">
        <v>46268.0</v>
      </c>
      <c r="AB83" s="28">
        <v>46268.0</v>
      </c>
      <c r="AC83" s="30" t="s">
        <v>269</v>
      </c>
      <c r="AD83" s="57" t="s">
        <v>182</v>
      </c>
      <c r="AE83" s="58">
        <v>46268.0</v>
      </c>
      <c r="AF83" s="58">
        <v>46268.0</v>
      </c>
      <c r="AG83" s="28">
        <v>46269.0</v>
      </c>
      <c r="AH83" s="69"/>
      <c r="AI83" s="69"/>
    </row>
    <row r="84" ht="19.5" customHeight="1">
      <c r="A84" s="20">
        <v>83.0</v>
      </c>
      <c r="B84" s="20">
        <f t="shared" si="1"/>
        <v>83</v>
      </c>
      <c r="C84" s="21" t="s">
        <v>245</v>
      </c>
      <c r="D84" s="20" t="s">
        <v>246</v>
      </c>
      <c r="E84" s="21" t="s">
        <v>45</v>
      </c>
      <c r="F84" s="21" t="s">
        <v>47</v>
      </c>
      <c r="G84" s="21" t="s">
        <v>286</v>
      </c>
      <c r="H84" s="22" t="s">
        <v>287</v>
      </c>
      <c r="I84" s="21" t="s">
        <v>249</v>
      </c>
      <c r="J84" s="66">
        <v>46274.0</v>
      </c>
      <c r="K84" s="66">
        <v>46275.0</v>
      </c>
      <c r="L84" s="67"/>
      <c r="M84" s="67"/>
      <c r="N84" s="21" t="s">
        <v>288</v>
      </c>
      <c r="O84" s="20" t="s">
        <v>54</v>
      </c>
      <c r="P84" s="20" t="s">
        <v>55</v>
      </c>
      <c r="Q84" s="20" t="s">
        <v>251</v>
      </c>
      <c r="R84" s="68"/>
      <c r="S84" s="28">
        <v>46264.0</v>
      </c>
      <c r="T84" s="68"/>
      <c r="U84" s="69"/>
      <c r="V84" s="20" t="s">
        <v>54</v>
      </c>
      <c r="W84" s="70"/>
      <c r="X84" s="21" t="s">
        <v>56</v>
      </c>
      <c r="Y84" s="20" t="s">
        <v>82</v>
      </c>
      <c r="Z84" s="20" t="s">
        <v>82</v>
      </c>
      <c r="AA84" s="28">
        <v>46268.0</v>
      </c>
      <c r="AB84" s="28">
        <v>46268.0</v>
      </c>
      <c r="AC84" s="30" t="s">
        <v>269</v>
      </c>
      <c r="AD84" s="57" t="s">
        <v>182</v>
      </c>
      <c r="AE84" s="58">
        <v>46268.0</v>
      </c>
      <c r="AF84" s="58">
        <v>46268.0</v>
      </c>
      <c r="AG84" s="28">
        <v>46269.0</v>
      </c>
      <c r="AH84" s="69"/>
      <c r="AI84" s="69"/>
    </row>
    <row r="85" ht="19.5" customHeight="1">
      <c r="A85" s="20">
        <v>84.0</v>
      </c>
      <c r="B85" s="20">
        <f t="shared" si="1"/>
        <v>84</v>
      </c>
      <c r="C85" s="21" t="s">
        <v>245</v>
      </c>
      <c r="D85" s="20" t="s">
        <v>246</v>
      </c>
      <c r="E85" s="21" t="s">
        <v>45</v>
      </c>
      <c r="F85" s="21" t="s">
        <v>47</v>
      </c>
      <c r="G85" s="21" t="s">
        <v>289</v>
      </c>
      <c r="H85" s="22" t="s">
        <v>290</v>
      </c>
      <c r="I85" s="21" t="s">
        <v>249</v>
      </c>
      <c r="J85" s="66">
        <v>46276.0</v>
      </c>
      <c r="K85" s="66">
        <v>46277.0</v>
      </c>
      <c r="L85" s="67"/>
      <c r="M85" s="67"/>
      <c r="N85" s="21" t="s">
        <v>291</v>
      </c>
      <c r="O85" s="20" t="s">
        <v>54</v>
      </c>
      <c r="P85" s="20" t="s">
        <v>55</v>
      </c>
      <c r="Q85" s="20" t="s">
        <v>251</v>
      </c>
      <c r="R85" s="68"/>
      <c r="S85" s="28">
        <v>46264.0</v>
      </c>
      <c r="T85" s="68"/>
      <c r="U85" s="69"/>
      <c r="V85" s="20" t="s">
        <v>54</v>
      </c>
      <c r="W85" s="70"/>
      <c r="X85" s="21" t="s">
        <v>56</v>
      </c>
      <c r="Y85" s="20" t="s">
        <v>82</v>
      </c>
      <c r="Z85" s="20" t="s">
        <v>82</v>
      </c>
      <c r="AA85" s="28">
        <v>46268.0</v>
      </c>
      <c r="AB85" s="28">
        <v>46268.0</v>
      </c>
      <c r="AC85" s="30" t="s">
        <v>269</v>
      </c>
      <c r="AD85" s="57" t="s">
        <v>182</v>
      </c>
      <c r="AE85" s="58">
        <v>46268.0</v>
      </c>
      <c r="AF85" s="58">
        <v>46268.0</v>
      </c>
      <c r="AG85" s="28">
        <v>46269.0</v>
      </c>
      <c r="AH85" s="69"/>
      <c r="AI85" s="69"/>
    </row>
    <row r="86" ht="19.5" customHeight="1">
      <c r="A86" s="20">
        <v>85.0</v>
      </c>
      <c r="B86" s="20">
        <f t="shared" si="1"/>
        <v>85</v>
      </c>
      <c r="C86" s="21" t="s">
        <v>245</v>
      </c>
      <c r="D86" s="20" t="s">
        <v>246</v>
      </c>
      <c r="E86" s="21" t="s">
        <v>45</v>
      </c>
      <c r="F86" s="21" t="s">
        <v>47</v>
      </c>
      <c r="G86" s="21" t="s">
        <v>292</v>
      </c>
      <c r="H86" s="22" t="s">
        <v>198</v>
      </c>
      <c r="I86" s="21" t="s">
        <v>249</v>
      </c>
      <c r="J86" s="66">
        <v>46278.0</v>
      </c>
      <c r="K86" s="66">
        <v>46281.0</v>
      </c>
      <c r="L86" s="67"/>
      <c r="M86" s="67"/>
      <c r="N86" s="21" t="s">
        <v>293</v>
      </c>
      <c r="O86" s="20" t="s">
        <v>54</v>
      </c>
      <c r="P86" s="20" t="s">
        <v>55</v>
      </c>
      <c r="Q86" s="20" t="s">
        <v>251</v>
      </c>
      <c r="R86" s="68"/>
      <c r="S86" s="28">
        <v>46264.0</v>
      </c>
      <c r="T86" s="68"/>
      <c r="U86" s="69"/>
      <c r="V86" s="20" t="s">
        <v>54</v>
      </c>
      <c r="W86" s="70"/>
      <c r="X86" s="21" t="s">
        <v>56</v>
      </c>
      <c r="Y86" s="20" t="s">
        <v>82</v>
      </c>
      <c r="Z86" s="20" t="s">
        <v>82</v>
      </c>
      <c r="AA86" s="28">
        <v>46268.0</v>
      </c>
      <c r="AB86" s="28">
        <v>46268.0</v>
      </c>
      <c r="AC86" s="30" t="s">
        <v>988</v>
      </c>
      <c r="AD86" s="57" t="s">
        <v>151</v>
      </c>
      <c r="AE86" s="58">
        <v>46269.0</v>
      </c>
      <c r="AF86" s="58">
        <v>46269.0</v>
      </c>
      <c r="AG86" s="71"/>
      <c r="AH86" s="22"/>
      <c r="AI86" s="69"/>
    </row>
    <row r="87" ht="19.5" customHeight="1">
      <c r="A87" s="20">
        <v>86.0</v>
      </c>
      <c r="B87" s="20">
        <f t="shared" si="1"/>
        <v>86</v>
      </c>
      <c r="C87" s="21" t="s">
        <v>245</v>
      </c>
      <c r="D87" s="20" t="s">
        <v>246</v>
      </c>
      <c r="E87" s="21" t="s">
        <v>45</v>
      </c>
      <c r="F87" s="21" t="s">
        <v>47</v>
      </c>
      <c r="G87" s="21" t="s">
        <v>294</v>
      </c>
      <c r="H87" s="22" t="s">
        <v>295</v>
      </c>
      <c r="I87" s="20" t="s">
        <v>249</v>
      </c>
      <c r="J87" s="66">
        <v>46282.0</v>
      </c>
      <c r="K87" s="66">
        <v>46283.0</v>
      </c>
      <c r="L87" s="67"/>
      <c r="M87" s="67"/>
      <c r="N87" s="21" t="s">
        <v>296</v>
      </c>
      <c r="O87" s="20" t="s">
        <v>54</v>
      </c>
      <c r="P87" s="20" t="s">
        <v>85</v>
      </c>
      <c r="Q87" s="20" t="s">
        <v>251</v>
      </c>
      <c r="R87" s="68"/>
      <c r="S87" s="28">
        <v>46264.0</v>
      </c>
      <c r="T87" s="68"/>
      <c r="U87" s="69"/>
      <c r="V87" s="20" t="s">
        <v>54</v>
      </c>
      <c r="W87" s="70"/>
      <c r="X87" s="21" t="s">
        <v>56</v>
      </c>
      <c r="Y87" s="20" t="s">
        <v>82</v>
      </c>
      <c r="Z87" s="20" t="s">
        <v>82</v>
      </c>
      <c r="AA87" s="28">
        <v>46268.0</v>
      </c>
      <c r="AB87" s="28">
        <v>46268.0</v>
      </c>
      <c r="AC87" s="30" t="s">
        <v>346</v>
      </c>
      <c r="AD87" s="20" t="s">
        <v>151</v>
      </c>
      <c r="AE87" s="21" t="s">
        <v>481</v>
      </c>
      <c r="AF87" s="21" t="s">
        <v>481</v>
      </c>
      <c r="AG87" s="71"/>
      <c r="AH87" s="69"/>
      <c r="AI87" s="69"/>
    </row>
    <row r="88" ht="19.5" customHeight="1">
      <c r="A88" s="20">
        <v>87.0</v>
      </c>
      <c r="B88" s="20">
        <f t="shared" si="1"/>
        <v>87</v>
      </c>
      <c r="C88" s="21" t="s">
        <v>245</v>
      </c>
      <c r="D88" s="20" t="s">
        <v>246</v>
      </c>
      <c r="E88" s="21" t="s">
        <v>45</v>
      </c>
      <c r="F88" s="21" t="s">
        <v>47</v>
      </c>
      <c r="G88" s="21" t="s">
        <v>297</v>
      </c>
      <c r="H88" s="22" t="s">
        <v>298</v>
      </c>
      <c r="I88" s="20" t="s">
        <v>249</v>
      </c>
      <c r="J88" s="66">
        <v>46283.0</v>
      </c>
      <c r="K88" s="20" t="s">
        <v>299</v>
      </c>
      <c r="L88" s="67"/>
      <c r="M88" s="67"/>
      <c r="N88" s="21" t="s">
        <v>300</v>
      </c>
      <c r="O88" s="20" t="s">
        <v>54</v>
      </c>
      <c r="P88" s="20" t="s">
        <v>85</v>
      </c>
      <c r="Q88" s="20" t="s">
        <v>251</v>
      </c>
      <c r="R88" s="68"/>
      <c r="S88" s="28">
        <v>46264.0</v>
      </c>
      <c r="T88" s="68"/>
      <c r="U88" s="69"/>
      <c r="V88" s="20" t="s">
        <v>54</v>
      </c>
      <c r="W88" s="70"/>
      <c r="X88" s="21" t="s">
        <v>56</v>
      </c>
      <c r="Y88" s="20" t="s">
        <v>82</v>
      </c>
      <c r="Z88" s="20" t="s">
        <v>82</v>
      </c>
      <c r="AA88" s="28">
        <v>46268.0</v>
      </c>
      <c r="AB88" s="28">
        <v>46268.0</v>
      </c>
      <c r="AC88" s="30" t="s">
        <v>346</v>
      </c>
      <c r="AD88" s="20" t="s">
        <v>151</v>
      </c>
      <c r="AE88" s="21" t="s">
        <v>481</v>
      </c>
      <c r="AF88" s="21" t="s">
        <v>481</v>
      </c>
      <c r="AG88" s="71"/>
      <c r="AH88" s="69"/>
      <c r="AI88" s="69"/>
    </row>
    <row r="89" ht="19.5" customHeight="1">
      <c r="A89" s="20">
        <v>88.0</v>
      </c>
      <c r="B89" s="20">
        <f t="shared" si="1"/>
        <v>88</v>
      </c>
      <c r="C89" s="21" t="s">
        <v>245</v>
      </c>
      <c r="D89" s="20" t="s">
        <v>246</v>
      </c>
      <c r="E89" s="21" t="s">
        <v>45</v>
      </c>
      <c r="F89" s="21" t="s">
        <v>47</v>
      </c>
      <c r="G89" s="21" t="s">
        <v>301</v>
      </c>
      <c r="H89" s="22" t="s">
        <v>302</v>
      </c>
      <c r="I89" s="20" t="s">
        <v>249</v>
      </c>
      <c r="J89" s="66">
        <v>46284.0</v>
      </c>
      <c r="K89" s="66">
        <v>46285.0</v>
      </c>
      <c r="L89" s="67"/>
      <c r="M89" s="67"/>
      <c r="N89" s="21" t="s">
        <v>303</v>
      </c>
      <c r="O89" s="20" t="s">
        <v>54</v>
      </c>
      <c r="P89" s="20" t="s">
        <v>85</v>
      </c>
      <c r="Q89" s="20" t="s">
        <v>251</v>
      </c>
      <c r="R89" s="68"/>
      <c r="S89" s="28">
        <v>46264.0</v>
      </c>
      <c r="T89" s="68"/>
      <c r="U89" s="69"/>
      <c r="V89" s="20" t="s">
        <v>54</v>
      </c>
      <c r="W89" s="70"/>
      <c r="X89" s="21" t="s">
        <v>56</v>
      </c>
      <c r="Y89" s="20" t="s">
        <v>82</v>
      </c>
      <c r="Z89" s="20" t="s">
        <v>82</v>
      </c>
      <c r="AA89" s="28">
        <v>46268.0</v>
      </c>
      <c r="AB89" s="28">
        <v>46268.0</v>
      </c>
      <c r="AC89" s="30" t="s">
        <v>988</v>
      </c>
      <c r="AD89" s="20" t="s">
        <v>152</v>
      </c>
      <c r="AE89" s="28">
        <v>46269.0</v>
      </c>
      <c r="AF89" s="28">
        <v>46269.0</v>
      </c>
      <c r="AG89" s="71"/>
      <c r="AH89" s="69"/>
      <c r="AI89" s="69"/>
    </row>
    <row r="90" ht="19.5" customHeight="1">
      <c r="A90" s="20">
        <v>89.0</v>
      </c>
      <c r="B90" s="20">
        <f t="shared" si="1"/>
        <v>89</v>
      </c>
      <c r="C90" s="21" t="s">
        <v>245</v>
      </c>
      <c r="D90" s="20" t="s">
        <v>246</v>
      </c>
      <c r="E90" s="21" t="s">
        <v>45</v>
      </c>
      <c r="F90" s="21" t="s">
        <v>47</v>
      </c>
      <c r="G90" s="21" t="s">
        <v>304</v>
      </c>
      <c r="H90" s="22" t="s">
        <v>305</v>
      </c>
      <c r="I90" s="20" t="s">
        <v>249</v>
      </c>
      <c r="J90" s="66">
        <v>46288.0</v>
      </c>
      <c r="K90" s="66">
        <v>46295.0</v>
      </c>
      <c r="L90" s="67"/>
      <c r="M90" s="67"/>
      <c r="N90" s="21" t="s">
        <v>306</v>
      </c>
      <c r="O90" s="20" t="s">
        <v>54</v>
      </c>
      <c r="P90" s="20" t="s">
        <v>85</v>
      </c>
      <c r="Q90" s="20" t="s">
        <v>251</v>
      </c>
      <c r="R90" s="68"/>
      <c r="S90" s="28">
        <v>46264.0</v>
      </c>
      <c r="T90" s="68"/>
      <c r="U90" s="69"/>
      <c r="V90" s="20" t="s">
        <v>54</v>
      </c>
      <c r="W90" s="70"/>
      <c r="X90" s="21" t="s">
        <v>56</v>
      </c>
      <c r="Y90" s="20" t="s">
        <v>82</v>
      </c>
      <c r="Z90" s="20" t="s">
        <v>82</v>
      </c>
      <c r="AA90" s="28">
        <v>46268.0</v>
      </c>
      <c r="AB90" s="28">
        <v>46268.0</v>
      </c>
      <c r="AC90" s="30" t="s">
        <v>988</v>
      </c>
      <c r="AD90" s="20" t="s">
        <v>152</v>
      </c>
      <c r="AE90" s="28">
        <v>46269.0</v>
      </c>
      <c r="AF90" s="28">
        <v>46269.0</v>
      </c>
      <c r="AG90" s="71"/>
      <c r="AH90" s="69"/>
      <c r="AI90" s="69"/>
    </row>
    <row r="91" ht="19.5" customHeight="1">
      <c r="A91" s="20">
        <v>90.0</v>
      </c>
      <c r="B91" s="20">
        <f t="shared" si="1"/>
        <v>90</v>
      </c>
      <c r="C91" s="21" t="s">
        <v>245</v>
      </c>
      <c r="D91" s="20" t="s">
        <v>246</v>
      </c>
      <c r="E91" s="21" t="s">
        <v>45</v>
      </c>
      <c r="F91" s="21" t="s">
        <v>47</v>
      </c>
      <c r="G91" s="72" t="s">
        <v>307</v>
      </c>
      <c r="H91" s="22" t="s">
        <v>308</v>
      </c>
      <c r="I91" s="20" t="s">
        <v>249</v>
      </c>
      <c r="J91" s="66">
        <v>46369.0</v>
      </c>
      <c r="K91" s="66">
        <v>46369.0</v>
      </c>
      <c r="L91" s="67"/>
      <c r="M91" s="67"/>
      <c r="N91" s="72" t="s">
        <v>309</v>
      </c>
      <c r="O91" s="20" t="s">
        <v>54</v>
      </c>
      <c r="P91" s="20" t="s">
        <v>76</v>
      </c>
      <c r="Q91" s="20" t="s">
        <v>251</v>
      </c>
      <c r="R91" s="68"/>
      <c r="S91" s="28">
        <v>46264.0</v>
      </c>
      <c r="T91" s="68"/>
      <c r="U91" s="69"/>
      <c r="V91" s="20" t="s">
        <v>54</v>
      </c>
      <c r="W91" s="70"/>
      <c r="X91" s="21" t="s">
        <v>56</v>
      </c>
      <c r="Y91" s="20" t="s">
        <v>54</v>
      </c>
      <c r="Z91" s="68"/>
      <c r="AA91" s="29"/>
      <c r="AB91" s="29"/>
      <c r="AC91" s="30"/>
      <c r="AD91" s="68"/>
      <c r="AE91" s="71"/>
      <c r="AF91" s="71"/>
      <c r="AG91" s="71"/>
      <c r="AH91" s="69"/>
      <c r="AI91" s="69"/>
    </row>
    <row r="92" ht="19.5" customHeight="1">
      <c r="A92" s="20">
        <v>91.0</v>
      </c>
      <c r="B92" s="20">
        <f t="shared" si="1"/>
        <v>91</v>
      </c>
      <c r="C92" s="21" t="s">
        <v>245</v>
      </c>
      <c r="D92" s="20" t="s">
        <v>246</v>
      </c>
      <c r="E92" s="21" t="s">
        <v>45</v>
      </c>
      <c r="F92" s="21" t="s">
        <v>47</v>
      </c>
      <c r="G92" s="21" t="s">
        <v>310</v>
      </c>
      <c r="H92" s="22" t="s">
        <v>311</v>
      </c>
      <c r="I92" s="20" t="s">
        <v>249</v>
      </c>
      <c r="J92" s="66">
        <v>46295.0</v>
      </c>
      <c r="K92" s="66">
        <v>46296.0</v>
      </c>
      <c r="L92" s="67"/>
      <c r="M92" s="67"/>
      <c r="N92" s="21" t="s">
        <v>312</v>
      </c>
      <c r="O92" s="20" t="s">
        <v>54</v>
      </c>
      <c r="P92" s="20" t="s">
        <v>55</v>
      </c>
      <c r="Q92" s="20" t="s">
        <v>251</v>
      </c>
      <c r="R92" s="68"/>
      <c r="S92" s="28">
        <v>46264.0</v>
      </c>
      <c r="T92" s="68"/>
      <c r="U92" s="69"/>
      <c r="V92" s="20" t="s">
        <v>54</v>
      </c>
      <c r="W92" s="70"/>
      <c r="X92" s="21" t="s">
        <v>56</v>
      </c>
      <c r="Y92" s="20" t="s">
        <v>82</v>
      </c>
      <c r="Z92" s="20" t="s">
        <v>82</v>
      </c>
      <c r="AA92" s="28">
        <v>46268.0</v>
      </c>
      <c r="AB92" s="28">
        <v>46268.0</v>
      </c>
      <c r="AC92" s="30" t="s">
        <v>346</v>
      </c>
      <c r="AD92" s="20" t="s">
        <v>152</v>
      </c>
      <c r="AE92" s="21" t="s">
        <v>347</v>
      </c>
      <c r="AF92" s="21" t="s">
        <v>347</v>
      </c>
      <c r="AG92" s="71"/>
      <c r="AH92" s="69"/>
      <c r="AI92" s="69"/>
    </row>
    <row r="93" ht="19.5" customHeight="1">
      <c r="A93" s="20">
        <v>92.0</v>
      </c>
      <c r="B93" s="20">
        <f t="shared" si="1"/>
        <v>92</v>
      </c>
      <c r="C93" s="21" t="s">
        <v>245</v>
      </c>
      <c r="D93" s="20" t="s">
        <v>246</v>
      </c>
      <c r="E93" s="21" t="s">
        <v>45</v>
      </c>
      <c r="F93" s="21" t="s">
        <v>47</v>
      </c>
      <c r="G93" s="21" t="s">
        <v>313</v>
      </c>
      <c r="H93" s="22" t="s">
        <v>314</v>
      </c>
      <c r="I93" s="20" t="s">
        <v>249</v>
      </c>
      <c r="J93" s="66">
        <v>46297.0</v>
      </c>
      <c r="K93" s="66">
        <v>46303.0</v>
      </c>
      <c r="L93" s="67"/>
      <c r="M93" s="67"/>
      <c r="N93" s="21" t="s">
        <v>315</v>
      </c>
      <c r="O93" s="20" t="s">
        <v>54</v>
      </c>
      <c r="P93" s="20" t="s">
        <v>85</v>
      </c>
      <c r="Q93" s="20" t="s">
        <v>251</v>
      </c>
      <c r="R93" s="68"/>
      <c r="S93" s="28">
        <v>46264.0</v>
      </c>
      <c r="T93" s="68"/>
      <c r="U93" s="69"/>
      <c r="V93" s="20" t="s">
        <v>54</v>
      </c>
      <c r="W93" s="70"/>
      <c r="X93" s="21" t="s">
        <v>56</v>
      </c>
      <c r="Y93" s="20" t="s">
        <v>54</v>
      </c>
      <c r="Z93" s="68"/>
      <c r="AA93" s="29"/>
      <c r="AB93" s="29"/>
      <c r="AC93" s="30"/>
      <c r="AD93" s="68"/>
      <c r="AE93" s="71"/>
      <c r="AF93" s="71"/>
      <c r="AG93" s="71"/>
      <c r="AH93" s="69"/>
      <c r="AI93" s="69"/>
    </row>
    <row r="94" ht="19.5" customHeight="1">
      <c r="A94" s="20">
        <v>93.0</v>
      </c>
      <c r="B94" s="20">
        <f t="shared" si="1"/>
        <v>93</v>
      </c>
      <c r="C94" s="21" t="s">
        <v>245</v>
      </c>
      <c r="D94" s="20" t="s">
        <v>246</v>
      </c>
      <c r="E94" s="21" t="s">
        <v>45</v>
      </c>
      <c r="F94" s="21" t="s">
        <v>47</v>
      </c>
      <c r="G94" s="21" t="s">
        <v>316</v>
      </c>
      <c r="H94" s="22" t="s">
        <v>317</v>
      </c>
      <c r="I94" s="20" t="s">
        <v>249</v>
      </c>
      <c r="J94" s="66">
        <v>46303.0</v>
      </c>
      <c r="K94" s="66">
        <v>46309.0</v>
      </c>
      <c r="L94" s="67"/>
      <c r="M94" s="67"/>
      <c r="N94" s="21" t="s">
        <v>318</v>
      </c>
      <c r="O94" s="20" t="s">
        <v>54</v>
      </c>
      <c r="P94" s="20" t="s">
        <v>85</v>
      </c>
      <c r="Q94" s="20" t="s">
        <v>251</v>
      </c>
      <c r="R94" s="68"/>
      <c r="S94" s="28">
        <v>46264.0</v>
      </c>
      <c r="T94" s="68"/>
      <c r="U94" s="69"/>
      <c r="V94" s="20" t="s">
        <v>54</v>
      </c>
      <c r="W94" s="70"/>
      <c r="X94" s="21" t="s">
        <v>56</v>
      </c>
      <c r="Y94" s="20" t="s">
        <v>54</v>
      </c>
      <c r="Z94" s="68"/>
      <c r="AA94" s="29"/>
      <c r="AB94" s="29"/>
      <c r="AC94" s="30"/>
      <c r="AD94" s="68"/>
      <c r="AE94" s="71"/>
      <c r="AF94" s="71"/>
      <c r="AG94" s="71"/>
      <c r="AH94" s="69"/>
      <c r="AI94" s="69"/>
    </row>
    <row r="95" ht="19.5" customHeight="1">
      <c r="A95" s="20">
        <v>94.0</v>
      </c>
      <c r="B95" s="20">
        <f t="shared" si="1"/>
        <v>94</v>
      </c>
      <c r="C95" s="21" t="s">
        <v>245</v>
      </c>
      <c r="D95" s="20" t="s">
        <v>246</v>
      </c>
      <c r="E95" s="21" t="s">
        <v>45</v>
      </c>
      <c r="F95" s="21" t="s">
        <v>47</v>
      </c>
      <c r="G95" s="21" t="s">
        <v>319</v>
      </c>
      <c r="H95" s="22" t="s">
        <v>320</v>
      </c>
      <c r="I95" s="20" t="s">
        <v>249</v>
      </c>
      <c r="J95" s="66">
        <v>46310.0</v>
      </c>
      <c r="K95" s="66">
        <v>46313.0</v>
      </c>
      <c r="L95" s="67"/>
      <c r="M95" s="67"/>
      <c r="N95" s="21" t="s">
        <v>321</v>
      </c>
      <c r="O95" s="20" t="s">
        <v>54</v>
      </c>
      <c r="P95" s="20" t="s">
        <v>76</v>
      </c>
      <c r="Q95" s="20" t="s">
        <v>251</v>
      </c>
      <c r="R95" s="68"/>
      <c r="S95" s="28">
        <v>46264.0</v>
      </c>
      <c r="T95" s="68"/>
      <c r="U95" s="69"/>
      <c r="V95" s="20" t="s">
        <v>54</v>
      </c>
      <c r="W95" s="70"/>
      <c r="X95" s="21" t="s">
        <v>56</v>
      </c>
      <c r="Y95" s="20" t="s">
        <v>54</v>
      </c>
      <c r="Z95" s="68"/>
      <c r="AA95" s="29"/>
      <c r="AB95" s="29"/>
      <c r="AC95" s="30"/>
      <c r="AD95" s="68"/>
      <c r="AE95" s="71"/>
      <c r="AF95" s="71"/>
      <c r="AG95" s="71"/>
      <c r="AH95" s="69"/>
      <c r="AI95" s="69"/>
    </row>
    <row r="96" ht="19.5" customHeight="1">
      <c r="A96" s="20">
        <v>95.0</v>
      </c>
      <c r="B96" s="20">
        <f t="shared" si="1"/>
        <v>95</v>
      </c>
      <c r="C96" s="21" t="s">
        <v>245</v>
      </c>
      <c r="D96" s="20" t="s">
        <v>246</v>
      </c>
      <c r="E96" s="21" t="s">
        <v>45</v>
      </c>
      <c r="F96" s="21" t="s">
        <v>47</v>
      </c>
      <c r="G96" s="21" t="s">
        <v>322</v>
      </c>
      <c r="H96" s="22" t="s">
        <v>323</v>
      </c>
      <c r="I96" s="20" t="s">
        <v>249</v>
      </c>
      <c r="J96" s="66">
        <v>46375.0</v>
      </c>
      <c r="K96" s="66">
        <v>46375.0</v>
      </c>
      <c r="L96" s="67"/>
      <c r="M96" s="67"/>
      <c r="N96" s="21" t="s">
        <v>324</v>
      </c>
      <c r="O96" s="20" t="s">
        <v>54</v>
      </c>
      <c r="P96" s="20" t="s">
        <v>76</v>
      </c>
      <c r="Q96" s="20" t="s">
        <v>251</v>
      </c>
      <c r="R96" s="68"/>
      <c r="S96" s="28">
        <v>46264.0</v>
      </c>
      <c r="T96" s="68"/>
      <c r="U96" s="69"/>
      <c r="V96" s="20" t="s">
        <v>54</v>
      </c>
      <c r="W96" s="70"/>
      <c r="X96" s="21" t="s">
        <v>56</v>
      </c>
      <c r="Y96" s="20" t="s">
        <v>54</v>
      </c>
      <c r="Z96" s="68"/>
      <c r="AA96" s="29"/>
      <c r="AB96" s="29"/>
      <c r="AC96" s="30"/>
      <c r="AD96" s="68"/>
      <c r="AE96" s="71"/>
      <c r="AF96" s="71"/>
      <c r="AG96" s="71"/>
      <c r="AH96" s="69"/>
      <c r="AI96" s="69"/>
    </row>
    <row r="97" ht="19.5" customHeight="1">
      <c r="A97" s="20">
        <v>96.0</v>
      </c>
      <c r="B97" s="20">
        <f t="shared" si="1"/>
        <v>96</v>
      </c>
      <c r="C97" s="21" t="s">
        <v>245</v>
      </c>
      <c r="D97" s="20" t="s">
        <v>246</v>
      </c>
      <c r="E97" s="21" t="s">
        <v>45</v>
      </c>
      <c r="F97" s="21" t="s">
        <v>47</v>
      </c>
      <c r="G97" s="21" t="s">
        <v>325</v>
      </c>
      <c r="H97" s="22" t="s">
        <v>326</v>
      </c>
      <c r="I97" s="20" t="s">
        <v>249</v>
      </c>
      <c r="J97" s="66">
        <v>46376.0</v>
      </c>
      <c r="K97" s="66">
        <v>46379.0</v>
      </c>
      <c r="L97" s="67"/>
      <c r="M97" s="67"/>
      <c r="N97" s="21" t="s">
        <v>327</v>
      </c>
      <c r="O97" s="20" t="s">
        <v>54</v>
      </c>
      <c r="P97" s="20" t="s">
        <v>76</v>
      </c>
      <c r="Q97" s="20" t="s">
        <v>251</v>
      </c>
      <c r="R97" s="68"/>
      <c r="S97" s="28">
        <v>46264.0</v>
      </c>
      <c r="T97" s="68"/>
      <c r="U97" s="69"/>
      <c r="V97" s="20" t="s">
        <v>54</v>
      </c>
      <c r="W97" s="70"/>
      <c r="X97" s="21" t="s">
        <v>56</v>
      </c>
      <c r="Y97" s="20" t="s">
        <v>54</v>
      </c>
      <c r="Z97" s="68"/>
      <c r="AA97" s="29"/>
      <c r="AB97" s="29"/>
      <c r="AC97" s="30"/>
      <c r="AD97" s="68"/>
      <c r="AE97" s="71"/>
      <c r="AF97" s="71"/>
      <c r="AG97" s="71"/>
      <c r="AH97" s="69"/>
      <c r="AI97" s="69"/>
    </row>
    <row r="98" ht="19.5" customHeight="1">
      <c r="A98" s="20">
        <v>97.0</v>
      </c>
      <c r="B98" s="20">
        <f t="shared" si="1"/>
        <v>97</v>
      </c>
      <c r="C98" s="21" t="s">
        <v>245</v>
      </c>
      <c r="D98" s="20" t="s">
        <v>246</v>
      </c>
      <c r="E98" s="21" t="s">
        <v>45</v>
      </c>
      <c r="F98" s="21" t="s">
        <v>47</v>
      </c>
      <c r="G98" s="20" t="s">
        <v>328</v>
      </c>
      <c r="H98" s="22" t="s">
        <v>329</v>
      </c>
      <c r="I98" s="20" t="s">
        <v>249</v>
      </c>
      <c r="J98" s="66">
        <v>46316.0</v>
      </c>
      <c r="K98" s="66">
        <v>46317.0</v>
      </c>
      <c r="L98" s="67"/>
      <c r="M98" s="67"/>
      <c r="N98" s="20" t="s">
        <v>330</v>
      </c>
      <c r="O98" s="20" t="s">
        <v>54</v>
      </c>
      <c r="P98" s="20" t="s">
        <v>55</v>
      </c>
      <c r="Q98" s="20" t="s">
        <v>251</v>
      </c>
      <c r="R98" s="68"/>
      <c r="S98" s="28">
        <v>46264.0</v>
      </c>
      <c r="T98" s="68"/>
      <c r="U98" s="69"/>
      <c r="V98" s="20" t="s">
        <v>54</v>
      </c>
      <c r="W98" s="70"/>
      <c r="X98" s="21" t="s">
        <v>56</v>
      </c>
      <c r="Y98" s="20" t="s">
        <v>82</v>
      </c>
      <c r="Z98" s="20" t="s">
        <v>82</v>
      </c>
      <c r="AA98" s="28">
        <v>46268.0</v>
      </c>
      <c r="AB98" s="28">
        <v>46268.0</v>
      </c>
      <c r="AC98" s="30" t="s">
        <v>269</v>
      </c>
      <c r="AD98" s="20" t="s">
        <v>182</v>
      </c>
      <c r="AE98" s="28">
        <v>46268.0</v>
      </c>
      <c r="AF98" s="28">
        <v>46268.0</v>
      </c>
      <c r="AG98" s="28">
        <v>46269.0</v>
      </c>
      <c r="AH98" s="69"/>
      <c r="AI98" s="69"/>
    </row>
    <row r="99" ht="19.5" customHeight="1">
      <c r="A99" s="20">
        <v>98.0</v>
      </c>
      <c r="B99" s="20">
        <f t="shared" si="1"/>
        <v>98</v>
      </c>
      <c r="C99" s="21" t="s">
        <v>245</v>
      </c>
      <c r="D99" s="20" t="s">
        <v>246</v>
      </c>
      <c r="E99" s="21" t="s">
        <v>45</v>
      </c>
      <c r="F99" s="21" t="s">
        <v>47</v>
      </c>
      <c r="G99" s="20" t="s">
        <v>331</v>
      </c>
      <c r="H99" s="22" t="s">
        <v>332</v>
      </c>
      <c r="I99" s="20" t="s">
        <v>249</v>
      </c>
      <c r="J99" s="66">
        <v>46318.0</v>
      </c>
      <c r="K99" s="66">
        <v>46320.0</v>
      </c>
      <c r="L99" s="67"/>
      <c r="M99" s="67"/>
      <c r="N99" s="20" t="s">
        <v>333</v>
      </c>
      <c r="O99" s="20" t="s">
        <v>54</v>
      </c>
      <c r="P99" s="20" t="s">
        <v>55</v>
      </c>
      <c r="Q99" s="20" t="s">
        <v>251</v>
      </c>
      <c r="R99" s="68"/>
      <c r="S99" s="28">
        <v>46264.0</v>
      </c>
      <c r="T99" s="68"/>
      <c r="U99" s="69"/>
      <c r="V99" s="20" t="s">
        <v>54</v>
      </c>
      <c r="W99" s="70"/>
      <c r="X99" s="21" t="s">
        <v>56</v>
      </c>
      <c r="Y99" s="20" t="s">
        <v>82</v>
      </c>
      <c r="Z99" s="20" t="s">
        <v>82</v>
      </c>
      <c r="AA99" s="28">
        <v>46268.0</v>
      </c>
      <c r="AB99" s="28">
        <v>46268.0</v>
      </c>
      <c r="AC99" s="30" t="s">
        <v>346</v>
      </c>
      <c r="AD99" s="20" t="s">
        <v>151</v>
      </c>
      <c r="AE99" s="21" t="s">
        <v>437</v>
      </c>
      <c r="AF99" s="21" t="s">
        <v>437</v>
      </c>
      <c r="AG99" s="71"/>
      <c r="AH99" s="69"/>
      <c r="AI99" s="69"/>
    </row>
    <row r="100" ht="19.5" customHeight="1">
      <c r="A100" s="20">
        <v>99.0</v>
      </c>
      <c r="B100" s="20">
        <f t="shared" si="1"/>
        <v>99</v>
      </c>
      <c r="C100" s="21" t="s">
        <v>245</v>
      </c>
      <c r="D100" s="20" t="s">
        <v>246</v>
      </c>
      <c r="E100" s="21" t="s">
        <v>45</v>
      </c>
      <c r="F100" s="21" t="s">
        <v>47</v>
      </c>
      <c r="G100" s="20" t="s">
        <v>334</v>
      </c>
      <c r="H100" s="22" t="s">
        <v>335</v>
      </c>
      <c r="I100" s="20" t="s">
        <v>249</v>
      </c>
      <c r="J100" s="66">
        <v>46323.0</v>
      </c>
      <c r="K100" s="66">
        <v>46325.0</v>
      </c>
      <c r="L100" s="67"/>
      <c r="M100" s="67"/>
      <c r="N100" s="20" t="s">
        <v>336</v>
      </c>
      <c r="O100" s="20" t="s">
        <v>54</v>
      </c>
      <c r="P100" s="20" t="s">
        <v>55</v>
      </c>
      <c r="Q100" s="20" t="s">
        <v>251</v>
      </c>
      <c r="R100" s="68"/>
      <c r="S100" s="28">
        <v>46264.0</v>
      </c>
      <c r="T100" s="68"/>
      <c r="U100" s="69"/>
      <c r="V100" s="20" t="s">
        <v>54</v>
      </c>
      <c r="W100" s="70"/>
      <c r="X100" s="21" t="s">
        <v>56</v>
      </c>
      <c r="Y100" s="20" t="s">
        <v>82</v>
      </c>
      <c r="Z100" s="20" t="s">
        <v>82</v>
      </c>
      <c r="AA100" s="28">
        <v>46268.0</v>
      </c>
      <c r="AB100" s="28">
        <v>46268.0</v>
      </c>
      <c r="AC100" s="30" t="s">
        <v>346</v>
      </c>
      <c r="AD100" s="20" t="s">
        <v>151</v>
      </c>
      <c r="AE100" s="21" t="s">
        <v>574</v>
      </c>
      <c r="AF100" s="21" t="s">
        <v>574</v>
      </c>
      <c r="AG100" s="71"/>
      <c r="AH100" s="69"/>
      <c r="AI100" s="69"/>
    </row>
    <row r="101" ht="19.5" customHeight="1">
      <c r="A101" s="20">
        <v>100.0</v>
      </c>
      <c r="B101" s="20">
        <f t="shared" si="1"/>
        <v>100</v>
      </c>
      <c r="C101" s="21" t="s">
        <v>245</v>
      </c>
      <c r="D101" s="20" t="s">
        <v>246</v>
      </c>
      <c r="E101" s="21" t="s">
        <v>45</v>
      </c>
      <c r="F101" s="21" t="s">
        <v>47</v>
      </c>
      <c r="G101" s="20" t="s">
        <v>337</v>
      </c>
      <c r="H101" s="22" t="s">
        <v>338</v>
      </c>
      <c r="I101" s="20" t="s">
        <v>249</v>
      </c>
      <c r="J101" s="66">
        <v>46325.0</v>
      </c>
      <c r="K101" s="66">
        <v>46327.0</v>
      </c>
      <c r="L101" s="67"/>
      <c r="M101" s="67"/>
      <c r="N101" s="20" t="s">
        <v>339</v>
      </c>
      <c r="O101" s="20" t="s">
        <v>54</v>
      </c>
      <c r="P101" s="20" t="s">
        <v>55</v>
      </c>
      <c r="Q101" s="20" t="s">
        <v>251</v>
      </c>
      <c r="R101" s="68"/>
      <c r="S101" s="28">
        <v>46264.0</v>
      </c>
      <c r="T101" s="68"/>
      <c r="U101" s="69"/>
      <c r="V101" s="20" t="s">
        <v>54</v>
      </c>
      <c r="W101" s="70"/>
      <c r="X101" s="21" t="s">
        <v>56</v>
      </c>
      <c r="Y101" s="20" t="s">
        <v>82</v>
      </c>
      <c r="Z101" s="20" t="s">
        <v>82</v>
      </c>
      <c r="AA101" s="28">
        <v>46268.0</v>
      </c>
      <c r="AB101" s="28">
        <v>46268.0</v>
      </c>
      <c r="AC101" s="30" t="s">
        <v>346</v>
      </c>
      <c r="AD101" s="20" t="s">
        <v>152</v>
      </c>
      <c r="AE101" s="21" t="s">
        <v>574</v>
      </c>
      <c r="AF101" s="21" t="s">
        <v>574</v>
      </c>
      <c r="AG101" s="71"/>
      <c r="AH101" s="69"/>
      <c r="AI101" s="69"/>
    </row>
    <row r="102" ht="19.5" customHeight="1">
      <c r="A102" s="20">
        <v>101.0</v>
      </c>
      <c r="B102" s="20">
        <f t="shared" si="1"/>
        <v>101</v>
      </c>
      <c r="C102" s="21" t="s">
        <v>245</v>
      </c>
      <c r="D102" s="20" t="s">
        <v>246</v>
      </c>
      <c r="E102" s="21" t="s">
        <v>45</v>
      </c>
      <c r="F102" s="21" t="s">
        <v>47</v>
      </c>
      <c r="G102" s="20" t="s">
        <v>340</v>
      </c>
      <c r="H102" s="22" t="s">
        <v>341</v>
      </c>
      <c r="I102" s="20" t="s">
        <v>249</v>
      </c>
      <c r="J102" s="66">
        <v>46330.0</v>
      </c>
      <c r="K102" s="66">
        <v>46332.0</v>
      </c>
      <c r="L102" s="67"/>
      <c r="M102" s="67"/>
      <c r="N102" s="20" t="s">
        <v>342</v>
      </c>
      <c r="O102" s="20" t="s">
        <v>54</v>
      </c>
      <c r="P102" s="20" t="s">
        <v>55</v>
      </c>
      <c r="Q102" s="20" t="s">
        <v>251</v>
      </c>
      <c r="R102" s="68"/>
      <c r="S102" s="28">
        <v>46264.0</v>
      </c>
      <c r="T102" s="68"/>
      <c r="U102" s="69"/>
      <c r="V102" s="20" t="s">
        <v>54</v>
      </c>
      <c r="W102" s="70"/>
      <c r="X102" s="21" t="s">
        <v>56</v>
      </c>
      <c r="Y102" s="20" t="s">
        <v>82</v>
      </c>
      <c r="Z102" s="20" t="s">
        <v>82</v>
      </c>
      <c r="AA102" s="28">
        <v>46268.0</v>
      </c>
      <c r="AB102" s="28">
        <v>46268.0</v>
      </c>
      <c r="AC102" s="30" t="s">
        <v>346</v>
      </c>
      <c r="AD102" s="20" t="s">
        <v>151</v>
      </c>
      <c r="AE102" s="71"/>
      <c r="AF102" s="71"/>
      <c r="AG102" s="71"/>
      <c r="AH102" s="69"/>
      <c r="AI102" s="69"/>
    </row>
    <row r="103" ht="19.5" customHeight="1">
      <c r="A103" s="20">
        <v>102.0</v>
      </c>
      <c r="B103" s="20">
        <f t="shared" si="1"/>
        <v>102</v>
      </c>
      <c r="C103" s="21" t="s">
        <v>245</v>
      </c>
      <c r="D103" s="20" t="s">
        <v>246</v>
      </c>
      <c r="E103" s="21" t="s">
        <v>45</v>
      </c>
      <c r="F103" s="21" t="s">
        <v>47</v>
      </c>
      <c r="G103" s="20" t="s">
        <v>343</v>
      </c>
      <c r="H103" s="22" t="s">
        <v>344</v>
      </c>
      <c r="I103" s="20" t="s">
        <v>249</v>
      </c>
      <c r="J103" s="66">
        <v>46333.0</v>
      </c>
      <c r="K103" s="66">
        <v>46334.0</v>
      </c>
      <c r="L103" s="67"/>
      <c r="M103" s="67"/>
      <c r="N103" s="20" t="s">
        <v>345</v>
      </c>
      <c r="O103" s="20" t="s">
        <v>54</v>
      </c>
      <c r="P103" s="20" t="s">
        <v>55</v>
      </c>
      <c r="Q103" s="20" t="s">
        <v>251</v>
      </c>
      <c r="R103" s="68"/>
      <c r="S103" s="28">
        <v>46264.0</v>
      </c>
      <c r="T103" s="68"/>
      <c r="U103" s="69"/>
      <c r="V103" s="20" t="s">
        <v>54</v>
      </c>
      <c r="W103" s="70"/>
      <c r="X103" s="21" t="s">
        <v>56</v>
      </c>
      <c r="Y103" s="20" t="s">
        <v>82</v>
      </c>
      <c r="Z103" s="20" t="s">
        <v>82</v>
      </c>
      <c r="AA103" s="28">
        <v>46268.0</v>
      </c>
      <c r="AB103" s="28">
        <v>46268.0</v>
      </c>
      <c r="AC103" s="30" t="s">
        <v>346</v>
      </c>
      <c r="AD103" s="20" t="s">
        <v>151</v>
      </c>
      <c r="AE103" s="71"/>
      <c r="AF103" s="71"/>
      <c r="AG103" s="71"/>
      <c r="AH103" s="69"/>
      <c r="AI103" s="69"/>
    </row>
    <row r="104" ht="19.5" customHeight="1">
      <c r="A104" s="20">
        <v>103.0</v>
      </c>
      <c r="B104" s="20">
        <f t="shared" si="1"/>
        <v>103</v>
      </c>
      <c r="C104" s="21" t="s">
        <v>245</v>
      </c>
      <c r="D104" s="20" t="s">
        <v>246</v>
      </c>
      <c r="E104" s="21" t="s">
        <v>45</v>
      </c>
      <c r="F104" s="21" t="s">
        <v>47</v>
      </c>
      <c r="G104" s="20" t="s">
        <v>348</v>
      </c>
      <c r="H104" s="22" t="s">
        <v>349</v>
      </c>
      <c r="I104" s="20" t="s">
        <v>249</v>
      </c>
      <c r="J104" s="66">
        <v>46334.0</v>
      </c>
      <c r="K104" s="66">
        <v>46337.0</v>
      </c>
      <c r="L104" s="67"/>
      <c r="M104" s="67"/>
      <c r="N104" s="20" t="s">
        <v>350</v>
      </c>
      <c r="O104" s="20" t="s">
        <v>54</v>
      </c>
      <c r="P104" s="20" t="s">
        <v>55</v>
      </c>
      <c r="Q104" s="20" t="s">
        <v>251</v>
      </c>
      <c r="R104" s="68"/>
      <c r="S104" s="28">
        <v>46264.0</v>
      </c>
      <c r="T104" s="68"/>
      <c r="U104" s="69"/>
      <c r="V104" s="20" t="s">
        <v>54</v>
      </c>
      <c r="W104" s="70"/>
      <c r="X104" s="21" t="s">
        <v>56</v>
      </c>
      <c r="Y104" s="20" t="s">
        <v>82</v>
      </c>
      <c r="Z104" s="20" t="s">
        <v>82</v>
      </c>
      <c r="AA104" s="28">
        <v>46268.0</v>
      </c>
      <c r="AB104" s="28">
        <v>46268.0</v>
      </c>
      <c r="AC104" s="30" t="s">
        <v>346</v>
      </c>
      <c r="AD104" s="20" t="s">
        <v>151</v>
      </c>
      <c r="AE104" s="71"/>
      <c r="AF104" s="71"/>
      <c r="AG104" s="71"/>
      <c r="AH104" s="69"/>
      <c r="AI104" s="69"/>
    </row>
    <row r="105" ht="19.5" customHeight="1">
      <c r="A105" s="20">
        <v>104.0</v>
      </c>
      <c r="B105" s="20">
        <f t="shared" si="1"/>
        <v>104</v>
      </c>
      <c r="C105" s="21" t="s">
        <v>245</v>
      </c>
      <c r="D105" s="20" t="s">
        <v>351</v>
      </c>
      <c r="E105" s="21" t="s">
        <v>45</v>
      </c>
      <c r="F105" s="21" t="s">
        <v>47</v>
      </c>
      <c r="G105" s="21" t="s">
        <v>352</v>
      </c>
      <c r="H105" s="22" t="s">
        <v>353</v>
      </c>
      <c r="I105" s="20" t="s">
        <v>354</v>
      </c>
      <c r="J105" s="66">
        <v>46281.0</v>
      </c>
      <c r="K105" s="66">
        <v>46282.0</v>
      </c>
      <c r="L105" s="67"/>
      <c r="M105" s="67"/>
      <c r="N105" s="21" t="s">
        <v>355</v>
      </c>
      <c r="O105" s="20" t="s">
        <v>54</v>
      </c>
      <c r="P105" s="20" t="s">
        <v>55</v>
      </c>
      <c r="Q105" s="20" t="s">
        <v>251</v>
      </c>
      <c r="R105" s="68"/>
      <c r="S105" s="28">
        <v>46264.0</v>
      </c>
      <c r="T105" s="68"/>
      <c r="U105" s="69"/>
      <c r="V105" s="20" t="s">
        <v>54</v>
      </c>
      <c r="W105" s="70"/>
      <c r="X105" s="21" t="s">
        <v>56</v>
      </c>
      <c r="Y105" s="20" t="s">
        <v>82</v>
      </c>
      <c r="Z105" s="68"/>
      <c r="AA105" s="28">
        <v>46268.0</v>
      </c>
      <c r="AB105" s="28">
        <v>46268.0</v>
      </c>
      <c r="AC105" s="30" t="s">
        <v>988</v>
      </c>
      <c r="AD105" s="57" t="s">
        <v>151</v>
      </c>
      <c r="AE105" s="58">
        <v>46269.0</v>
      </c>
      <c r="AF105" s="73" t="s">
        <v>481</v>
      </c>
      <c r="AG105" s="71"/>
      <c r="AH105" s="69"/>
      <c r="AI105" s="69"/>
    </row>
    <row r="106" ht="19.5" customHeight="1">
      <c r="A106" s="20">
        <v>105.0</v>
      </c>
      <c r="B106" s="20">
        <f t="shared" si="1"/>
        <v>105</v>
      </c>
      <c r="C106" s="21" t="s">
        <v>245</v>
      </c>
      <c r="D106" s="20" t="s">
        <v>351</v>
      </c>
      <c r="E106" s="21" t="s">
        <v>45</v>
      </c>
      <c r="F106" s="21" t="s">
        <v>47</v>
      </c>
      <c r="G106" s="21" t="s">
        <v>356</v>
      </c>
      <c r="H106" s="22" t="s">
        <v>202</v>
      </c>
      <c r="I106" s="20" t="s">
        <v>354</v>
      </c>
      <c r="J106" s="66">
        <v>46283.0</v>
      </c>
      <c r="K106" s="66">
        <v>46284.0</v>
      </c>
      <c r="L106" s="67"/>
      <c r="M106" s="67"/>
      <c r="N106" s="21" t="s">
        <v>357</v>
      </c>
      <c r="O106" s="20" t="s">
        <v>54</v>
      </c>
      <c r="P106" s="20" t="s">
        <v>55</v>
      </c>
      <c r="Q106" s="20" t="s">
        <v>251</v>
      </c>
      <c r="R106" s="68"/>
      <c r="S106" s="28">
        <v>46264.0</v>
      </c>
      <c r="T106" s="68"/>
      <c r="U106" s="69"/>
      <c r="V106" s="20" t="s">
        <v>54</v>
      </c>
      <c r="W106" s="70"/>
      <c r="X106" s="21" t="s">
        <v>56</v>
      </c>
      <c r="Y106" s="20" t="s">
        <v>82</v>
      </c>
      <c r="Z106" s="68"/>
      <c r="AA106" s="28">
        <v>46268.0</v>
      </c>
      <c r="AB106" s="28">
        <v>46268.0</v>
      </c>
      <c r="AC106" s="30" t="s">
        <v>988</v>
      </c>
      <c r="AD106" s="20" t="s">
        <v>152</v>
      </c>
      <c r="AE106" s="28">
        <v>46269.0</v>
      </c>
      <c r="AF106" s="28">
        <v>46269.0</v>
      </c>
      <c r="AG106" s="71"/>
      <c r="AH106" s="22"/>
      <c r="AI106" s="69"/>
    </row>
    <row r="107" ht="19.5" customHeight="1">
      <c r="A107" s="20">
        <v>106.0</v>
      </c>
      <c r="B107" s="20">
        <f t="shared" si="1"/>
        <v>106</v>
      </c>
      <c r="C107" s="21" t="s">
        <v>245</v>
      </c>
      <c r="D107" s="20" t="s">
        <v>351</v>
      </c>
      <c r="E107" s="21" t="s">
        <v>45</v>
      </c>
      <c r="F107" s="21" t="s">
        <v>47</v>
      </c>
      <c r="G107" s="21" t="s">
        <v>358</v>
      </c>
      <c r="H107" s="22" t="s">
        <v>359</v>
      </c>
      <c r="I107" s="20" t="s">
        <v>354</v>
      </c>
      <c r="J107" s="66">
        <v>46285.0</v>
      </c>
      <c r="K107" s="66">
        <v>46285.0</v>
      </c>
      <c r="L107" s="67"/>
      <c r="M107" s="67"/>
      <c r="N107" s="21" t="s">
        <v>360</v>
      </c>
      <c r="O107" s="20" t="s">
        <v>54</v>
      </c>
      <c r="P107" s="20" t="s">
        <v>55</v>
      </c>
      <c r="Q107" s="20" t="s">
        <v>251</v>
      </c>
      <c r="R107" s="68"/>
      <c r="S107" s="28">
        <v>46264.0</v>
      </c>
      <c r="T107" s="68"/>
      <c r="U107" s="69"/>
      <c r="V107" s="20" t="s">
        <v>54</v>
      </c>
      <c r="W107" s="70"/>
      <c r="X107" s="21" t="s">
        <v>56</v>
      </c>
      <c r="Y107" s="20" t="s">
        <v>82</v>
      </c>
      <c r="Z107" s="68"/>
      <c r="AA107" s="28">
        <v>46268.0</v>
      </c>
      <c r="AB107" s="28">
        <v>46268.0</v>
      </c>
      <c r="AC107" s="30" t="s">
        <v>346</v>
      </c>
      <c r="AD107" s="20" t="s">
        <v>152</v>
      </c>
      <c r="AE107" s="21" t="s">
        <v>481</v>
      </c>
      <c r="AF107" s="21" t="s">
        <v>481</v>
      </c>
      <c r="AG107" s="71"/>
      <c r="AH107" s="22" t="s">
        <v>989</v>
      </c>
      <c r="AI107" s="69"/>
    </row>
    <row r="108" ht="19.5" customHeight="1">
      <c r="A108" s="20">
        <v>107.0</v>
      </c>
      <c r="B108" s="20">
        <f t="shared" si="1"/>
        <v>107</v>
      </c>
      <c r="C108" s="21" t="s">
        <v>245</v>
      </c>
      <c r="D108" s="20" t="s">
        <v>351</v>
      </c>
      <c r="E108" s="21" t="s">
        <v>45</v>
      </c>
      <c r="F108" s="21" t="s">
        <v>47</v>
      </c>
      <c r="G108" s="21" t="s">
        <v>361</v>
      </c>
      <c r="H108" s="22" t="s">
        <v>362</v>
      </c>
      <c r="I108" s="20" t="s">
        <v>354</v>
      </c>
      <c r="J108" s="66">
        <v>46288.0</v>
      </c>
      <c r="K108" s="66">
        <v>46289.0</v>
      </c>
      <c r="L108" s="67"/>
      <c r="M108" s="67"/>
      <c r="N108" s="21" t="s">
        <v>363</v>
      </c>
      <c r="O108" s="20" t="s">
        <v>54</v>
      </c>
      <c r="P108" s="20" t="s">
        <v>55</v>
      </c>
      <c r="Q108" s="20" t="s">
        <v>251</v>
      </c>
      <c r="R108" s="68"/>
      <c r="S108" s="28">
        <v>46264.0</v>
      </c>
      <c r="T108" s="68"/>
      <c r="U108" s="69"/>
      <c r="V108" s="20" t="s">
        <v>54</v>
      </c>
      <c r="W108" s="70"/>
      <c r="X108" s="21" t="s">
        <v>56</v>
      </c>
      <c r="Y108" s="20" t="s">
        <v>82</v>
      </c>
      <c r="Z108" s="68"/>
      <c r="AA108" s="28">
        <v>46268.0</v>
      </c>
      <c r="AB108" s="28">
        <v>46268.0</v>
      </c>
      <c r="AC108" s="30" t="s">
        <v>346</v>
      </c>
      <c r="AD108" s="20" t="s">
        <v>151</v>
      </c>
      <c r="AE108" s="21" t="s">
        <v>347</v>
      </c>
      <c r="AF108" s="21" t="s">
        <v>347</v>
      </c>
      <c r="AG108" s="71"/>
      <c r="AH108" s="69"/>
      <c r="AI108" s="69"/>
    </row>
    <row r="109" ht="19.5" customHeight="1">
      <c r="A109" s="20">
        <v>108.0</v>
      </c>
      <c r="B109" s="20">
        <f t="shared" si="1"/>
        <v>108</v>
      </c>
      <c r="C109" s="21" t="s">
        <v>245</v>
      </c>
      <c r="D109" s="20" t="s">
        <v>351</v>
      </c>
      <c r="E109" s="21" t="s">
        <v>45</v>
      </c>
      <c r="F109" s="21" t="s">
        <v>47</v>
      </c>
      <c r="G109" s="21" t="s">
        <v>365</v>
      </c>
      <c r="H109" s="22" t="s">
        <v>366</v>
      </c>
      <c r="I109" s="20" t="s">
        <v>354</v>
      </c>
      <c r="J109" s="66">
        <v>46290.0</v>
      </c>
      <c r="K109" s="66">
        <v>46291.0</v>
      </c>
      <c r="L109" s="67"/>
      <c r="M109" s="67"/>
      <c r="N109" s="21" t="s">
        <v>367</v>
      </c>
      <c r="O109" s="20" t="s">
        <v>54</v>
      </c>
      <c r="P109" s="20" t="s">
        <v>55</v>
      </c>
      <c r="Q109" s="20" t="s">
        <v>251</v>
      </c>
      <c r="R109" s="68"/>
      <c r="S109" s="28">
        <v>46264.0</v>
      </c>
      <c r="T109" s="68"/>
      <c r="U109" s="69"/>
      <c r="V109" s="20" t="s">
        <v>54</v>
      </c>
      <c r="W109" s="70"/>
      <c r="X109" s="21" t="s">
        <v>56</v>
      </c>
      <c r="Y109" s="20" t="s">
        <v>82</v>
      </c>
      <c r="Z109" s="68"/>
      <c r="AA109" s="28">
        <v>46268.0</v>
      </c>
      <c r="AB109" s="28">
        <v>46268.0</v>
      </c>
      <c r="AC109" s="30" t="s">
        <v>346</v>
      </c>
      <c r="AD109" s="20" t="s">
        <v>151</v>
      </c>
      <c r="AE109" s="21" t="s">
        <v>347</v>
      </c>
      <c r="AF109" s="21" t="s">
        <v>347</v>
      </c>
      <c r="AG109" s="71"/>
      <c r="AH109" s="69"/>
      <c r="AI109" s="69"/>
    </row>
    <row r="110" ht="19.5" customHeight="1">
      <c r="A110" s="20">
        <v>109.0</v>
      </c>
      <c r="B110" s="20">
        <f t="shared" si="1"/>
        <v>109</v>
      </c>
      <c r="C110" s="21" t="s">
        <v>245</v>
      </c>
      <c r="D110" s="20" t="s">
        <v>351</v>
      </c>
      <c r="E110" s="21" t="s">
        <v>45</v>
      </c>
      <c r="F110" s="21" t="s">
        <v>47</v>
      </c>
      <c r="G110" s="21" t="s">
        <v>368</v>
      </c>
      <c r="H110" s="22" t="s">
        <v>369</v>
      </c>
      <c r="I110" s="20" t="s">
        <v>354</v>
      </c>
      <c r="J110" s="66">
        <v>46292.0</v>
      </c>
      <c r="K110" s="66">
        <v>46295.0</v>
      </c>
      <c r="L110" s="67"/>
      <c r="M110" s="67"/>
      <c r="N110" s="21" t="s">
        <v>370</v>
      </c>
      <c r="O110" s="20" t="s">
        <v>54</v>
      </c>
      <c r="P110" s="20" t="s">
        <v>55</v>
      </c>
      <c r="Q110" s="20" t="s">
        <v>251</v>
      </c>
      <c r="R110" s="68"/>
      <c r="S110" s="28">
        <v>46264.0</v>
      </c>
      <c r="T110" s="68"/>
      <c r="U110" s="69"/>
      <c r="V110" s="20" t="s">
        <v>54</v>
      </c>
      <c r="W110" s="70"/>
      <c r="X110" s="21" t="s">
        <v>56</v>
      </c>
      <c r="Y110" s="20" t="s">
        <v>82</v>
      </c>
      <c r="Z110" s="68"/>
      <c r="AA110" s="28">
        <v>46268.0</v>
      </c>
      <c r="AB110" s="28">
        <v>46268.0</v>
      </c>
      <c r="AC110" s="30" t="s">
        <v>346</v>
      </c>
      <c r="AD110" s="20" t="s">
        <v>151</v>
      </c>
      <c r="AE110" s="21" t="s">
        <v>347</v>
      </c>
      <c r="AF110" s="21" t="s">
        <v>347</v>
      </c>
      <c r="AG110" s="71"/>
      <c r="AH110" s="69"/>
      <c r="AI110" s="69"/>
    </row>
    <row r="111" ht="19.5" customHeight="1">
      <c r="A111" s="20">
        <v>110.0</v>
      </c>
      <c r="B111" s="20">
        <f t="shared" si="1"/>
        <v>110</v>
      </c>
      <c r="C111" s="21" t="s">
        <v>245</v>
      </c>
      <c r="D111" s="20" t="s">
        <v>351</v>
      </c>
      <c r="E111" s="21" t="s">
        <v>45</v>
      </c>
      <c r="F111" s="21" t="s">
        <v>47</v>
      </c>
      <c r="G111" s="21" t="s">
        <v>371</v>
      </c>
      <c r="H111" s="22" t="s">
        <v>372</v>
      </c>
      <c r="I111" s="20" t="s">
        <v>354</v>
      </c>
      <c r="J111" s="66">
        <v>46351.0</v>
      </c>
      <c r="K111" s="66">
        <v>46352.0</v>
      </c>
      <c r="L111" s="67"/>
      <c r="M111" s="67"/>
      <c r="N111" s="21" t="s">
        <v>373</v>
      </c>
      <c r="O111" s="20" t="s">
        <v>54</v>
      </c>
      <c r="P111" s="20" t="s">
        <v>76</v>
      </c>
      <c r="Q111" s="20" t="s">
        <v>251</v>
      </c>
      <c r="R111" s="68"/>
      <c r="S111" s="28">
        <v>46264.0</v>
      </c>
      <c r="T111" s="68"/>
      <c r="U111" s="69"/>
      <c r="V111" s="20" t="s">
        <v>54</v>
      </c>
      <c r="W111" s="70"/>
      <c r="X111" s="21" t="s">
        <v>56</v>
      </c>
      <c r="Y111" s="20" t="s">
        <v>54</v>
      </c>
      <c r="Z111" s="68"/>
      <c r="AA111" s="29"/>
      <c r="AB111" s="29"/>
      <c r="AC111" s="30"/>
      <c r="AD111" s="68"/>
      <c r="AE111" s="71"/>
      <c r="AF111" s="71"/>
      <c r="AG111" s="71"/>
      <c r="AH111" s="69"/>
      <c r="AI111" s="69"/>
    </row>
    <row r="112" ht="19.5" customHeight="1">
      <c r="A112" s="20">
        <v>111.0</v>
      </c>
      <c r="B112" s="20">
        <f t="shared" si="1"/>
        <v>111</v>
      </c>
      <c r="C112" s="21" t="s">
        <v>245</v>
      </c>
      <c r="D112" s="20" t="s">
        <v>351</v>
      </c>
      <c r="E112" s="21" t="s">
        <v>45</v>
      </c>
      <c r="F112" s="21" t="s">
        <v>47</v>
      </c>
      <c r="G112" s="21" t="s">
        <v>374</v>
      </c>
      <c r="H112" s="22" t="s">
        <v>375</v>
      </c>
      <c r="I112" s="20" t="s">
        <v>354</v>
      </c>
      <c r="J112" s="66">
        <v>46353.0</v>
      </c>
      <c r="K112" s="66">
        <v>46354.0</v>
      </c>
      <c r="L112" s="67"/>
      <c r="M112" s="67"/>
      <c r="N112" s="21" t="s">
        <v>376</v>
      </c>
      <c r="O112" s="20" t="s">
        <v>54</v>
      </c>
      <c r="P112" s="20" t="s">
        <v>76</v>
      </c>
      <c r="Q112" s="20" t="s">
        <v>251</v>
      </c>
      <c r="R112" s="68"/>
      <c r="S112" s="28">
        <v>46264.0</v>
      </c>
      <c r="T112" s="68"/>
      <c r="U112" s="69"/>
      <c r="V112" s="20" t="s">
        <v>54</v>
      </c>
      <c r="W112" s="70"/>
      <c r="X112" s="21" t="s">
        <v>56</v>
      </c>
      <c r="Y112" s="20" t="s">
        <v>54</v>
      </c>
      <c r="Z112" s="68"/>
      <c r="AA112" s="29"/>
      <c r="AB112" s="29"/>
      <c r="AC112" s="30"/>
      <c r="AD112" s="68"/>
      <c r="AE112" s="71"/>
      <c r="AF112" s="71"/>
      <c r="AG112" s="71"/>
      <c r="AH112" s="69"/>
      <c r="AI112" s="69"/>
    </row>
    <row r="113" ht="19.5" customHeight="1">
      <c r="A113" s="20">
        <v>112.0</v>
      </c>
      <c r="B113" s="20">
        <f t="shared" si="1"/>
        <v>112</v>
      </c>
      <c r="C113" s="21" t="s">
        <v>245</v>
      </c>
      <c r="D113" s="20" t="s">
        <v>351</v>
      </c>
      <c r="E113" s="21" t="s">
        <v>45</v>
      </c>
      <c r="F113" s="21" t="s">
        <v>47</v>
      </c>
      <c r="G113" s="72" t="s">
        <v>377</v>
      </c>
      <c r="H113" s="74" t="s">
        <v>378</v>
      </c>
      <c r="I113" s="20" t="s">
        <v>354</v>
      </c>
      <c r="J113" s="66">
        <v>46355.0</v>
      </c>
      <c r="K113" s="66">
        <v>46359.0</v>
      </c>
      <c r="L113" s="67"/>
      <c r="M113" s="67"/>
      <c r="N113" s="72" t="s">
        <v>379</v>
      </c>
      <c r="O113" s="20" t="s">
        <v>54</v>
      </c>
      <c r="P113" s="20" t="s">
        <v>76</v>
      </c>
      <c r="Q113" s="20" t="s">
        <v>251</v>
      </c>
      <c r="R113" s="68"/>
      <c r="S113" s="28">
        <v>46264.0</v>
      </c>
      <c r="T113" s="68"/>
      <c r="U113" s="69"/>
      <c r="V113" s="20" t="s">
        <v>54</v>
      </c>
      <c r="W113" s="70"/>
      <c r="X113" s="21" t="s">
        <v>56</v>
      </c>
      <c r="Y113" s="20" t="s">
        <v>54</v>
      </c>
      <c r="Z113" s="68"/>
      <c r="AA113" s="29"/>
      <c r="AB113" s="29"/>
      <c r="AC113" s="30"/>
      <c r="AD113" s="68"/>
      <c r="AE113" s="71"/>
      <c r="AF113" s="71"/>
      <c r="AG113" s="71"/>
      <c r="AH113" s="69"/>
      <c r="AI113" s="69"/>
    </row>
    <row r="114" ht="19.5" customHeight="1">
      <c r="A114" s="20">
        <v>113.0</v>
      </c>
      <c r="B114" s="20">
        <f t="shared" si="1"/>
        <v>113</v>
      </c>
      <c r="C114" s="21" t="s">
        <v>245</v>
      </c>
      <c r="D114" s="20" t="s">
        <v>351</v>
      </c>
      <c r="E114" s="21" t="s">
        <v>45</v>
      </c>
      <c r="F114" s="21" t="s">
        <v>47</v>
      </c>
      <c r="G114" s="21" t="s">
        <v>380</v>
      </c>
      <c r="H114" s="22" t="s">
        <v>381</v>
      </c>
      <c r="I114" s="20" t="s">
        <v>354</v>
      </c>
      <c r="J114" s="66">
        <v>46360.0</v>
      </c>
      <c r="K114" s="66">
        <v>46361.0</v>
      </c>
      <c r="L114" s="67"/>
      <c r="M114" s="67"/>
      <c r="N114" s="21" t="s">
        <v>382</v>
      </c>
      <c r="O114" s="20" t="s">
        <v>54</v>
      </c>
      <c r="P114" s="20" t="s">
        <v>76</v>
      </c>
      <c r="Q114" s="20" t="s">
        <v>251</v>
      </c>
      <c r="R114" s="68"/>
      <c r="S114" s="28">
        <v>46264.0</v>
      </c>
      <c r="T114" s="68"/>
      <c r="U114" s="69"/>
      <c r="V114" s="20" t="s">
        <v>54</v>
      </c>
      <c r="W114" s="70"/>
      <c r="X114" s="21" t="s">
        <v>56</v>
      </c>
      <c r="Y114" s="20" t="s">
        <v>54</v>
      </c>
      <c r="Z114" s="68"/>
      <c r="AA114" s="29"/>
      <c r="AB114" s="29"/>
      <c r="AC114" s="30"/>
      <c r="AD114" s="68"/>
      <c r="AE114" s="71"/>
      <c r="AF114" s="71"/>
      <c r="AG114" s="71"/>
      <c r="AH114" s="69"/>
      <c r="AI114" s="69"/>
    </row>
    <row r="115" ht="19.5" customHeight="1">
      <c r="A115" s="20">
        <v>114.0</v>
      </c>
      <c r="B115" s="20">
        <f t="shared" si="1"/>
        <v>114</v>
      </c>
      <c r="C115" s="21" t="s">
        <v>245</v>
      </c>
      <c r="D115" s="20" t="s">
        <v>351</v>
      </c>
      <c r="E115" s="21" t="s">
        <v>45</v>
      </c>
      <c r="F115" s="21" t="s">
        <v>47</v>
      </c>
      <c r="G115" s="72" t="s">
        <v>383</v>
      </c>
      <c r="H115" s="74" t="s">
        <v>384</v>
      </c>
      <c r="I115" s="20" t="s">
        <v>354</v>
      </c>
      <c r="J115" s="66">
        <v>46362.0</v>
      </c>
      <c r="K115" s="66">
        <v>46365.0</v>
      </c>
      <c r="L115" s="67"/>
      <c r="M115" s="67"/>
      <c r="N115" s="72" t="s">
        <v>385</v>
      </c>
      <c r="O115" s="20" t="s">
        <v>54</v>
      </c>
      <c r="P115" s="20" t="s">
        <v>76</v>
      </c>
      <c r="Q115" s="20" t="s">
        <v>251</v>
      </c>
      <c r="R115" s="68"/>
      <c r="S115" s="28">
        <v>46264.0</v>
      </c>
      <c r="T115" s="68"/>
      <c r="U115" s="69"/>
      <c r="V115" s="20" t="s">
        <v>54</v>
      </c>
      <c r="W115" s="70"/>
      <c r="X115" s="21" t="s">
        <v>56</v>
      </c>
      <c r="Y115" s="20" t="s">
        <v>54</v>
      </c>
      <c r="Z115" s="68"/>
      <c r="AA115" s="29"/>
      <c r="AB115" s="29"/>
      <c r="AC115" s="30"/>
      <c r="AD115" s="68"/>
      <c r="AE115" s="71"/>
      <c r="AF115" s="71"/>
      <c r="AG115" s="71"/>
      <c r="AH115" s="69"/>
      <c r="AI115" s="69"/>
    </row>
    <row r="116" ht="19.5" customHeight="1">
      <c r="A116" s="20">
        <v>115.0</v>
      </c>
      <c r="B116" s="20">
        <f t="shared" si="1"/>
        <v>115</v>
      </c>
      <c r="C116" s="21" t="s">
        <v>245</v>
      </c>
      <c r="D116" s="20" t="s">
        <v>351</v>
      </c>
      <c r="E116" s="21" t="s">
        <v>45</v>
      </c>
      <c r="F116" s="21" t="s">
        <v>47</v>
      </c>
      <c r="G116" s="21" t="s">
        <v>386</v>
      </c>
      <c r="H116" s="22" t="s">
        <v>387</v>
      </c>
      <c r="I116" s="20" t="s">
        <v>354</v>
      </c>
      <c r="J116" s="66">
        <v>46366.0</v>
      </c>
      <c r="K116" s="66">
        <v>46367.0</v>
      </c>
      <c r="L116" s="67"/>
      <c r="M116" s="67"/>
      <c r="N116" s="21" t="s">
        <v>388</v>
      </c>
      <c r="O116" s="20" t="s">
        <v>54</v>
      </c>
      <c r="P116" s="20" t="s">
        <v>76</v>
      </c>
      <c r="Q116" s="20" t="s">
        <v>251</v>
      </c>
      <c r="R116" s="68"/>
      <c r="S116" s="28">
        <v>46264.0</v>
      </c>
      <c r="T116" s="68"/>
      <c r="U116" s="69"/>
      <c r="V116" s="20" t="s">
        <v>54</v>
      </c>
      <c r="W116" s="70"/>
      <c r="X116" s="21" t="s">
        <v>56</v>
      </c>
      <c r="Y116" s="20" t="s">
        <v>54</v>
      </c>
      <c r="Z116" s="68"/>
      <c r="AA116" s="29"/>
      <c r="AB116" s="29"/>
      <c r="AC116" s="30"/>
      <c r="AD116" s="68"/>
      <c r="AE116" s="71"/>
      <c r="AF116" s="71"/>
      <c r="AG116" s="71"/>
      <c r="AH116" s="69"/>
      <c r="AI116" s="69"/>
    </row>
    <row r="117" ht="19.5" customHeight="1">
      <c r="A117" s="20">
        <v>116.0</v>
      </c>
      <c r="B117" s="20">
        <f t="shared" si="1"/>
        <v>116</v>
      </c>
      <c r="C117" s="21" t="s">
        <v>245</v>
      </c>
      <c r="D117" s="20" t="s">
        <v>351</v>
      </c>
      <c r="E117" s="21" t="s">
        <v>45</v>
      </c>
      <c r="F117" s="21" t="s">
        <v>47</v>
      </c>
      <c r="G117" s="21" t="s">
        <v>389</v>
      </c>
      <c r="H117" s="22" t="s">
        <v>390</v>
      </c>
      <c r="I117" s="20" t="s">
        <v>354</v>
      </c>
      <c r="J117" s="66">
        <v>46296.0</v>
      </c>
      <c r="K117" s="66">
        <v>46297.0</v>
      </c>
      <c r="L117" s="67"/>
      <c r="M117" s="67"/>
      <c r="N117" s="21" t="s">
        <v>391</v>
      </c>
      <c r="O117" s="20" t="s">
        <v>54</v>
      </c>
      <c r="P117" s="20" t="s">
        <v>85</v>
      </c>
      <c r="Q117" s="20" t="s">
        <v>251</v>
      </c>
      <c r="R117" s="68"/>
      <c r="S117" s="28">
        <v>46264.0</v>
      </c>
      <c r="T117" s="68"/>
      <c r="U117" s="69"/>
      <c r="V117" s="20" t="s">
        <v>54</v>
      </c>
      <c r="W117" s="70"/>
      <c r="X117" s="21" t="s">
        <v>56</v>
      </c>
      <c r="Y117" s="20" t="s">
        <v>54</v>
      </c>
      <c r="Z117" s="68"/>
      <c r="AA117" s="29"/>
      <c r="AB117" s="29"/>
      <c r="AC117" s="30"/>
      <c r="AD117" s="68"/>
      <c r="AE117" s="71"/>
      <c r="AF117" s="71"/>
      <c r="AG117" s="71"/>
      <c r="AH117" s="69"/>
      <c r="AI117" s="69"/>
    </row>
    <row r="118" ht="19.5" customHeight="1">
      <c r="A118" s="20">
        <v>117.0</v>
      </c>
      <c r="B118" s="20">
        <f t="shared" si="1"/>
        <v>117</v>
      </c>
      <c r="C118" s="21" t="s">
        <v>245</v>
      </c>
      <c r="D118" s="20" t="s">
        <v>351</v>
      </c>
      <c r="E118" s="21" t="s">
        <v>45</v>
      </c>
      <c r="F118" s="21" t="s">
        <v>47</v>
      </c>
      <c r="G118" s="21" t="s">
        <v>392</v>
      </c>
      <c r="H118" s="22" t="s">
        <v>393</v>
      </c>
      <c r="I118" s="20" t="s">
        <v>354</v>
      </c>
      <c r="J118" s="66">
        <v>46299.0</v>
      </c>
      <c r="K118" s="66">
        <v>46302.0</v>
      </c>
      <c r="L118" s="67"/>
      <c r="M118" s="67"/>
      <c r="N118" s="21" t="s">
        <v>394</v>
      </c>
      <c r="O118" s="20" t="s">
        <v>54</v>
      </c>
      <c r="P118" s="20" t="s">
        <v>85</v>
      </c>
      <c r="Q118" s="20" t="s">
        <v>251</v>
      </c>
      <c r="R118" s="68"/>
      <c r="S118" s="28">
        <v>46264.0</v>
      </c>
      <c r="T118" s="68"/>
      <c r="U118" s="69"/>
      <c r="V118" s="20" t="s">
        <v>54</v>
      </c>
      <c r="W118" s="70"/>
      <c r="X118" s="21" t="s">
        <v>56</v>
      </c>
      <c r="Y118" s="20" t="s">
        <v>54</v>
      </c>
      <c r="Z118" s="68"/>
      <c r="AA118" s="29"/>
      <c r="AB118" s="29"/>
      <c r="AC118" s="30"/>
      <c r="AD118" s="68"/>
      <c r="AE118" s="71"/>
      <c r="AF118" s="71"/>
      <c r="AG118" s="71"/>
      <c r="AH118" s="69"/>
      <c r="AI118" s="69"/>
    </row>
    <row r="119" ht="19.5" customHeight="1">
      <c r="A119" s="20">
        <v>118.0</v>
      </c>
      <c r="B119" s="20">
        <f t="shared" si="1"/>
        <v>118</v>
      </c>
      <c r="C119" s="21" t="s">
        <v>245</v>
      </c>
      <c r="D119" s="20" t="s">
        <v>351</v>
      </c>
      <c r="E119" s="21" t="s">
        <v>45</v>
      </c>
      <c r="F119" s="21" t="s">
        <v>47</v>
      </c>
      <c r="G119" s="21" t="s">
        <v>395</v>
      </c>
      <c r="H119" s="22" t="s">
        <v>396</v>
      </c>
      <c r="I119" s="20" t="s">
        <v>354</v>
      </c>
      <c r="J119" s="66">
        <v>46303.0</v>
      </c>
      <c r="K119" s="66">
        <v>46305.0</v>
      </c>
      <c r="L119" s="67"/>
      <c r="M119" s="67"/>
      <c r="N119" s="21" t="s">
        <v>397</v>
      </c>
      <c r="O119" s="20" t="s">
        <v>54</v>
      </c>
      <c r="P119" s="20" t="s">
        <v>85</v>
      </c>
      <c r="Q119" s="20" t="s">
        <v>251</v>
      </c>
      <c r="R119" s="68"/>
      <c r="S119" s="28">
        <v>46264.0</v>
      </c>
      <c r="T119" s="68"/>
      <c r="U119" s="69"/>
      <c r="V119" s="20" t="s">
        <v>54</v>
      </c>
      <c r="W119" s="70"/>
      <c r="X119" s="21" t="s">
        <v>56</v>
      </c>
      <c r="Y119" s="20" t="s">
        <v>54</v>
      </c>
      <c r="Z119" s="68"/>
      <c r="AA119" s="29"/>
      <c r="AB119" s="29"/>
      <c r="AC119" s="30"/>
      <c r="AD119" s="68"/>
      <c r="AE119" s="71"/>
      <c r="AF119" s="71"/>
      <c r="AG119" s="71"/>
      <c r="AH119" s="69"/>
      <c r="AI119" s="69"/>
    </row>
    <row r="120" ht="19.5" customHeight="1">
      <c r="A120" s="20">
        <v>119.0</v>
      </c>
      <c r="B120" s="20">
        <f t="shared" si="1"/>
        <v>119</v>
      </c>
      <c r="C120" s="21" t="s">
        <v>245</v>
      </c>
      <c r="D120" s="20" t="s">
        <v>351</v>
      </c>
      <c r="E120" s="21" t="s">
        <v>45</v>
      </c>
      <c r="F120" s="21" t="s">
        <v>47</v>
      </c>
      <c r="G120" s="21" t="s">
        <v>398</v>
      </c>
      <c r="H120" s="22" t="s">
        <v>399</v>
      </c>
      <c r="I120" s="20" t="s">
        <v>354</v>
      </c>
      <c r="J120" s="66">
        <v>46306.0</v>
      </c>
      <c r="K120" s="66">
        <v>46309.0</v>
      </c>
      <c r="L120" s="67"/>
      <c r="M120" s="67"/>
      <c r="N120" s="21" t="s">
        <v>400</v>
      </c>
      <c r="O120" s="20" t="s">
        <v>54</v>
      </c>
      <c r="P120" s="20" t="s">
        <v>85</v>
      </c>
      <c r="Q120" s="20" t="s">
        <v>251</v>
      </c>
      <c r="R120" s="68"/>
      <c r="S120" s="28">
        <v>46264.0</v>
      </c>
      <c r="T120" s="68"/>
      <c r="U120" s="69"/>
      <c r="V120" s="20" t="s">
        <v>54</v>
      </c>
      <c r="W120" s="70"/>
      <c r="X120" s="21" t="s">
        <v>56</v>
      </c>
      <c r="Y120" s="20" t="s">
        <v>54</v>
      </c>
      <c r="Z120" s="68"/>
      <c r="AA120" s="29"/>
      <c r="AB120" s="29"/>
      <c r="AC120" s="30"/>
      <c r="AD120" s="68"/>
      <c r="AE120" s="71"/>
      <c r="AF120" s="71"/>
      <c r="AG120" s="71"/>
      <c r="AH120" s="69"/>
      <c r="AI120" s="69"/>
    </row>
    <row r="121" ht="19.5" customHeight="1">
      <c r="A121" s="20">
        <v>120.0</v>
      </c>
      <c r="B121" s="20">
        <f t="shared" si="1"/>
        <v>120</v>
      </c>
      <c r="C121" s="21" t="s">
        <v>245</v>
      </c>
      <c r="D121" s="20" t="s">
        <v>351</v>
      </c>
      <c r="E121" s="21" t="s">
        <v>45</v>
      </c>
      <c r="F121" s="21" t="s">
        <v>47</v>
      </c>
      <c r="G121" s="21" t="s">
        <v>401</v>
      </c>
      <c r="H121" s="22" t="s">
        <v>402</v>
      </c>
      <c r="I121" s="20" t="s">
        <v>354</v>
      </c>
      <c r="J121" s="66">
        <v>46310.0</v>
      </c>
      <c r="K121" s="66">
        <v>46311.0</v>
      </c>
      <c r="L121" s="67"/>
      <c r="M121" s="67"/>
      <c r="N121" s="21" t="s">
        <v>403</v>
      </c>
      <c r="O121" s="20" t="s">
        <v>54</v>
      </c>
      <c r="P121" s="20" t="s">
        <v>85</v>
      </c>
      <c r="Q121" s="20" t="s">
        <v>251</v>
      </c>
      <c r="R121" s="68"/>
      <c r="S121" s="28">
        <v>46264.0</v>
      </c>
      <c r="T121" s="68"/>
      <c r="U121" s="69"/>
      <c r="V121" s="20" t="s">
        <v>54</v>
      </c>
      <c r="W121" s="70"/>
      <c r="X121" s="21" t="s">
        <v>56</v>
      </c>
      <c r="Y121" s="20" t="s">
        <v>54</v>
      </c>
      <c r="Z121" s="68"/>
      <c r="AA121" s="29"/>
      <c r="AB121" s="29"/>
      <c r="AC121" s="30"/>
      <c r="AD121" s="68"/>
      <c r="AE121" s="71"/>
      <c r="AF121" s="71"/>
      <c r="AG121" s="71"/>
      <c r="AH121" s="69"/>
      <c r="AI121" s="69"/>
    </row>
    <row r="122" ht="19.5" customHeight="1">
      <c r="A122" s="20">
        <v>121.0</v>
      </c>
      <c r="B122" s="20">
        <f t="shared" si="1"/>
        <v>121</v>
      </c>
      <c r="C122" s="21" t="s">
        <v>245</v>
      </c>
      <c r="D122" s="20" t="s">
        <v>351</v>
      </c>
      <c r="E122" s="21" t="s">
        <v>45</v>
      </c>
      <c r="F122" s="21" t="s">
        <v>47</v>
      </c>
      <c r="G122" s="21" t="s">
        <v>404</v>
      </c>
      <c r="H122" s="22" t="s">
        <v>405</v>
      </c>
      <c r="I122" s="20" t="s">
        <v>354</v>
      </c>
      <c r="J122" s="66">
        <v>46312.0</v>
      </c>
      <c r="K122" s="66">
        <v>46313.0</v>
      </c>
      <c r="L122" s="67"/>
      <c r="M122" s="67"/>
      <c r="N122" s="21" t="s">
        <v>406</v>
      </c>
      <c r="O122" s="20" t="s">
        <v>54</v>
      </c>
      <c r="P122" s="20" t="s">
        <v>85</v>
      </c>
      <c r="Q122" s="20" t="s">
        <v>251</v>
      </c>
      <c r="R122" s="68"/>
      <c r="S122" s="28">
        <v>46264.0</v>
      </c>
      <c r="T122" s="68"/>
      <c r="U122" s="69"/>
      <c r="V122" s="20" t="s">
        <v>54</v>
      </c>
      <c r="W122" s="70"/>
      <c r="X122" s="21" t="s">
        <v>56</v>
      </c>
      <c r="Y122" s="20" t="s">
        <v>54</v>
      </c>
      <c r="Z122" s="68"/>
      <c r="AA122" s="29"/>
      <c r="AB122" s="29"/>
      <c r="AC122" s="30"/>
      <c r="AD122" s="68"/>
      <c r="AE122" s="71"/>
      <c r="AF122" s="71"/>
      <c r="AG122" s="71"/>
      <c r="AH122" s="69"/>
      <c r="AI122" s="69"/>
    </row>
    <row r="123" ht="19.5" customHeight="1">
      <c r="A123" s="20">
        <v>122.0</v>
      </c>
      <c r="B123" s="20">
        <f t="shared" si="1"/>
        <v>122</v>
      </c>
      <c r="C123" s="21" t="s">
        <v>245</v>
      </c>
      <c r="D123" s="20" t="s">
        <v>351</v>
      </c>
      <c r="E123" s="21" t="s">
        <v>45</v>
      </c>
      <c r="F123" s="21" t="s">
        <v>47</v>
      </c>
      <c r="G123" s="21" t="s">
        <v>407</v>
      </c>
      <c r="H123" s="22" t="s">
        <v>408</v>
      </c>
      <c r="I123" s="20" t="s">
        <v>354</v>
      </c>
      <c r="J123" s="66">
        <v>46316.0</v>
      </c>
      <c r="K123" s="66">
        <v>46317.0</v>
      </c>
      <c r="L123" s="67"/>
      <c r="M123" s="67"/>
      <c r="N123" s="21" t="s">
        <v>409</v>
      </c>
      <c r="O123" s="20" t="s">
        <v>54</v>
      </c>
      <c r="P123" s="20" t="s">
        <v>76</v>
      </c>
      <c r="Q123" s="20" t="s">
        <v>251</v>
      </c>
      <c r="R123" s="68"/>
      <c r="S123" s="28">
        <v>46264.0</v>
      </c>
      <c r="T123" s="68"/>
      <c r="U123" s="69"/>
      <c r="V123" s="20" t="s">
        <v>54</v>
      </c>
      <c r="W123" s="70"/>
      <c r="X123" s="21" t="s">
        <v>56</v>
      </c>
      <c r="Y123" s="20" t="s">
        <v>54</v>
      </c>
      <c r="Z123" s="68"/>
      <c r="AA123" s="29"/>
      <c r="AB123" s="29"/>
      <c r="AC123" s="30"/>
      <c r="AD123" s="68"/>
      <c r="AE123" s="71"/>
      <c r="AF123" s="71"/>
      <c r="AG123" s="71"/>
      <c r="AH123" s="69"/>
      <c r="AI123" s="69"/>
    </row>
    <row r="124" ht="19.5" customHeight="1">
      <c r="A124" s="20">
        <v>123.0</v>
      </c>
      <c r="B124" s="20">
        <f t="shared" si="1"/>
        <v>123</v>
      </c>
      <c r="C124" s="21" t="s">
        <v>245</v>
      </c>
      <c r="D124" s="20" t="s">
        <v>351</v>
      </c>
      <c r="E124" s="21" t="s">
        <v>45</v>
      </c>
      <c r="F124" s="21" t="s">
        <v>47</v>
      </c>
      <c r="G124" s="21" t="s">
        <v>410</v>
      </c>
      <c r="H124" s="22" t="s">
        <v>411</v>
      </c>
      <c r="I124" s="20" t="s">
        <v>354</v>
      </c>
      <c r="J124" s="66">
        <v>46318.0</v>
      </c>
      <c r="K124" s="66">
        <v>46319.0</v>
      </c>
      <c r="L124" s="67"/>
      <c r="M124" s="67"/>
      <c r="N124" s="21" t="s">
        <v>412</v>
      </c>
      <c r="O124" s="20" t="s">
        <v>54</v>
      </c>
      <c r="P124" s="20" t="s">
        <v>85</v>
      </c>
      <c r="Q124" s="20" t="s">
        <v>251</v>
      </c>
      <c r="R124" s="68"/>
      <c r="S124" s="28">
        <v>46264.0</v>
      </c>
      <c r="T124" s="68"/>
      <c r="U124" s="69"/>
      <c r="V124" s="20" t="s">
        <v>54</v>
      </c>
      <c r="W124" s="70"/>
      <c r="X124" s="21" t="s">
        <v>56</v>
      </c>
      <c r="Y124" s="20" t="s">
        <v>54</v>
      </c>
      <c r="Z124" s="68"/>
      <c r="AA124" s="29"/>
      <c r="AB124" s="29"/>
      <c r="AC124" s="30"/>
      <c r="AD124" s="68"/>
      <c r="AE124" s="71"/>
      <c r="AF124" s="71"/>
      <c r="AG124" s="71"/>
      <c r="AH124" s="69"/>
      <c r="AI124" s="69"/>
    </row>
    <row r="125" ht="19.5" customHeight="1">
      <c r="A125" s="20">
        <v>124.0</v>
      </c>
      <c r="B125" s="20">
        <f t="shared" si="1"/>
        <v>124</v>
      </c>
      <c r="C125" s="21" t="s">
        <v>245</v>
      </c>
      <c r="D125" s="20" t="s">
        <v>351</v>
      </c>
      <c r="E125" s="21" t="s">
        <v>45</v>
      </c>
      <c r="F125" s="21" t="s">
        <v>47</v>
      </c>
      <c r="G125" s="21" t="s">
        <v>413</v>
      </c>
      <c r="H125" s="22" t="s">
        <v>414</v>
      </c>
      <c r="I125" s="20" t="s">
        <v>354</v>
      </c>
      <c r="J125" s="66">
        <v>46320.0</v>
      </c>
      <c r="K125" s="66">
        <v>46324.0</v>
      </c>
      <c r="L125" s="67"/>
      <c r="M125" s="67"/>
      <c r="N125" s="21" t="s">
        <v>415</v>
      </c>
      <c r="O125" s="20" t="s">
        <v>54</v>
      </c>
      <c r="P125" s="20" t="s">
        <v>55</v>
      </c>
      <c r="Q125" s="20" t="s">
        <v>251</v>
      </c>
      <c r="R125" s="68"/>
      <c r="S125" s="28">
        <v>46264.0</v>
      </c>
      <c r="T125" s="68"/>
      <c r="U125" s="69"/>
      <c r="V125" s="20" t="s">
        <v>54</v>
      </c>
      <c r="W125" s="70"/>
      <c r="X125" s="21" t="s">
        <v>56</v>
      </c>
      <c r="Y125" s="20" t="s">
        <v>82</v>
      </c>
      <c r="Z125" s="68"/>
      <c r="AA125" s="28">
        <v>46268.0</v>
      </c>
      <c r="AB125" s="28">
        <v>46268.0</v>
      </c>
      <c r="AC125" s="30" t="s">
        <v>346</v>
      </c>
      <c r="AD125" s="20" t="s">
        <v>152</v>
      </c>
      <c r="AE125" s="21" t="s">
        <v>574</v>
      </c>
      <c r="AF125" s="21" t="s">
        <v>574</v>
      </c>
      <c r="AG125" s="71"/>
      <c r="AH125" s="69"/>
      <c r="AI125" s="69"/>
    </row>
    <row r="126" ht="19.5" customHeight="1">
      <c r="A126" s="20">
        <v>125.0</v>
      </c>
      <c r="B126" s="20">
        <f t="shared" si="1"/>
        <v>125</v>
      </c>
      <c r="C126" s="21" t="s">
        <v>245</v>
      </c>
      <c r="D126" s="20" t="s">
        <v>351</v>
      </c>
      <c r="E126" s="21" t="s">
        <v>45</v>
      </c>
      <c r="F126" s="21" t="s">
        <v>47</v>
      </c>
      <c r="G126" s="21" t="s">
        <v>416</v>
      </c>
      <c r="H126" s="22" t="s">
        <v>417</v>
      </c>
      <c r="I126" s="20" t="s">
        <v>354</v>
      </c>
      <c r="J126" s="66">
        <v>46325.0</v>
      </c>
      <c r="K126" s="66">
        <v>46327.0</v>
      </c>
      <c r="L126" s="67"/>
      <c r="M126" s="67"/>
      <c r="N126" s="21" t="s">
        <v>418</v>
      </c>
      <c r="O126" s="20" t="s">
        <v>54</v>
      </c>
      <c r="P126" s="20" t="s">
        <v>55</v>
      </c>
      <c r="Q126" s="20" t="s">
        <v>251</v>
      </c>
      <c r="R126" s="68"/>
      <c r="S126" s="28">
        <v>46264.0</v>
      </c>
      <c r="T126" s="68"/>
      <c r="U126" s="69"/>
      <c r="V126" s="20" t="s">
        <v>54</v>
      </c>
      <c r="W126" s="70"/>
      <c r="X126" s="21" t="s">
        <v>56</v>
      </c>
      <c r="Y126" s="20" t="s">
        <v>82</v>
      </c>
      <c r="Z126" s="68"/>
      <c r="AA126" s="28">
        <v>46268.0</v>
      </c>
      <c r="AB126" s="29"/>
      <c r="AC126" s="30"/>
      <c r="AD126" s="68"/>
      <c r="AE126" s="71"/>
      <c r="AF126" s="71"/>
      <c r="AG126" s="71"/>
      <c r="AH126" s="69"/>
      <c r="AI126" s="69"/>
    </row>
    <row r="127" ht="19.5" customHeight="1">
      <c r="A127" s="20">
        <v>126.0</v>
      </c>
      <c r="B127" s="20">
        <f t="shared" si="1"/>
        <v>126</v>
      </c>
      <c r="C127" s="21" t="s">
        <v>245</v>
      </c>
      <c r="D127" s="20" t="s">
        <v>351</v>
      </c>
      <c r="E127" s="21" t="s">
        <v>45</v>
      </c>
      <c r="F127" s="21" t="s">
        <v>47</v>
      </c>
      <c r="G127" s="21" t="s">
        <v>419</v>
      </c>
      <c r="H127" s="22" t="s">
        <v>420</v>
      </c>
      <c r="I127" s="20" t="s">
        <v>354</v>
      </c>
      <c r="J127" s="66">
        <v>46330.0</v>
      </c>
      <c r="K127" s="66">
        <v>46332.0</v>
      </c>
      <c r="L127" s="67"/>
      <c r="M127" s="67"/>
      <c r="N127" s="21" t="s">
        <v>421</v>
      </c>
      <c r="O127" s="20" t="s">
        <v>54</v>
      </c>
      <c r="P127" s="20" t="s">
        <v>55</v>
      </c>
      <c r="Q127" s="20" t="s">
        <v>251</v>
      </c>
      <c r="R127" s="68"/>
      <c r="S127" s="28">
        <v>46264.0</v>
      </c>
      <c r="T127" s="68"/>
      <c r="U127" s="69"/>
      <c r="V127" s="20" t="s">
        <v>54</v>
      </c>
      <c r="W127" s="70"/>
      <c r="X127" s="21" t="s">
        <v>56</v>
      </c>
      <c r="Y127" s="20" t="s">
        <v>82</v>
      </c>
      <c r="Z127" s="68"/>
      <c r="AA127" s="28">
        <v>46268.0</v>
      </c>
      <c r="AB127" s="28">
        <v>46268.0</v>
      </c>
      <c r="AC127" s="30" t="s">
        <v>346</v>
      </c>
      <c r="AD127" s="20" t="s">
        <v>152</v>
      </c>
      <c r="AE127" s="71"/>
      <c r="AF127" s="71"/>
      <c r="AG127" s="71"/>
      <c r="AH127" s="69"/>
      <c r="AI127" s="69"/>
    </row>
    <row r="128" ht="19.5" customHeight="1">
      <c r="A128" s="20">
        <v>127.0</v>
      </c>
      <c r="B128" s="20">
        <f t="shared" si="1"/>
        <v>127</v>
      </c>
      <c r="C128" s="21" t="s">
        <v>245</v>
      </c>
      <c r="D128" s="20" t="s">
        <v>351</v>
      </c>
      <c r="E128" s="21" t="s">
        <v>45</v>
      </c>
      <c r="F128" s="21" t="s">
        <v>47</v>
      </c>
      <c r="G128" s="21" t="s">
        <v>422</v>
      </c>
      <c r="H128" s="22" t="s">
        <v>423</v>
      </c>
      <c r="I128" s="20" t="s">
        <v>354</v>
      </c>
      <c r="J128" s="66">
        <v>46333.0</v>
      </c>
      <c r="K128" s="66">
        <v>46334.0</v>
      </c>
      <c r="L128" s="67"/>
      <c r="M128" s="67"/>
      <c r="N128" s="21" t="s">
        <v>424</v>
      </c>
      <c r="O128" s="20" t="s">
        <v>54</v>
      </c>
      <c r="P128" s="20" t="s">
        <v>55</v>
      </c>
      <c r="Q128" s="20" t="s">
        <v>251</v>
      </c>
      <c r="R128" s="68"/>
      <c r="S128" s="28">
        <v>46264.0</v>
      </c>
      <c r="T128" s="68"/>
      <c r="U128" s="69"/>
      <c r="V128" s="20" t="s">
        <v>54</v>
      </c>
      <c r="W128" s="70"/>
      <c r="X128" s="21" t="s">
        <v>56</v>
      </c>
      <c r="Y128" s="20" t="s">
        <v>82</v>
      </c>
      <c r="Z128" s="68"/>
      <c r="AA128" s="28">
        <v>46268.0</v>
      </c>
      <c r="AB128" s="29"/>
      <c r="AC128" s="30"/>
      <c r="AD128" s="68"/>
      <c r="AE128" s="71"/>
      <c r="AF128" s="71"/>
      <c r="AG128" s="71"/>
      <c r="AH128" s="69"/>
      <c r="AI128" s="69"/>
    </row>
    <row r="129" ht="19.5" customHeight="1">
      <c r="A129" s="20">
        <v>128.0</v>
      </c>
      <c r="B129" s="20">
        <f t="shared" si="1"/>
        <v>128</v>
      </c>
      <c r="C129" s="21" t="s">
        <v>245</v>
      </c>
      <c r="D129" s="20" t="s">
        <v>351</v>
      </c>
      <c r="E129" s="21" t="s">
        <v>45</v>
      </c>
      <c r="F129" s="21" t="s">
        <v>47</v>
      </c>
      <c r="G129" s="21" t="s">
        <v>425</v>
      </c>
      <c r="H129" s="22" t="s">
        <v>426</v>
      </c>
      <c r="I129" s="20" t="s">
        <v>354</v>
      </c>
      <c r="J129" s="66">
        <v>46337.0</v>
      </c>
      <c r="K129" s="66">
        <v>46338.0</v>
      </c>
      <c r="L129" s="67"/>
      <c r="M129" s="67"/>
      <c r="N129" s="21" t="s">
        <v>427</v>
      </c>
      <c r="O129" s="20" t="s">
        <v>54</v>
      </c>
      <c r="P129" s="20" t="s">
        <v>55</v>
      </c>
      <c r="Q129" s="20" t="s">
        <v>251</v>
      </c>
      <c r="R129" s="68"/>
      <c r="S129" s="28">
        <v>46264.0</v>
      </c>
      <c r="T129" s="68"/>
      <c r="U129" s="69"/>
      <c r="V129" s="20" t="s">
        <v>54</v>
      </c>
      <c r="W129" s="70"/>
      <c r="X129" s="21" t="s">
        <v>56</v>
      </c>
      <c r="Y129" s="20" t="s">
        <v>82</v>
      </c>
      <c r="Z129" s="68"/>
      <c r="AA129" s="28">
        <v>46268.0</v>
      </c>
      <c r="AB129" s="29"/>
      <c r="AC129" s="30"/>
      <c r="AD129" s="68"/>
      <c r="AE129" s="71"/>
      <c r="AF129" s="71"/>
      <c r="AG129" s="71"/>
      <c r="AH129" s="69"/>
      <c r="AI129" s="69"/>
    </row>
    <row r="130" ht="19.5" customHeight="1">
      <c r="A130" s="20">
        <v>129.0</v>
      </c>
      <c r="B130" s="20">
        <f t="shared" si="1"/>
        <v>129</v>
      </c>
      <c r="C130" s="21" t="s">
        <v>245</v>
      </c>
      <c r="D130" s="20" t="s">
        <v>351</v>
      </c>
      <c r="E130" s="21" t="s">
        <v>45</v>
      </c>
      <c r="F130" s="21" t="s">
        <v>47</v>
      </c>
      <c r="G130" s="21" t="s">
        <v>428</v>
      </c>
      <c r="H130" s="22" t="s">
        <v>429</v>
      </c>
      <c r="I130" s="20" t="s">
        <v>354</v>
      </c>
      <c r="J130" s="66">
        <v>46339.0</v>
      </c>
      <c r="K130" s="66">
        <v>46340.0</v>
      </c>
      <c r="L130" s="67"/>
      <c r="M130" s="67"/>
      <c r="N130" s="21" t="s">
        <v>430</v>
      </c>
      <c r="O130" s="20" t="s">
        <v>54</v>
      </c>
      <c r="P130" s="20" t="s">
        <v>55</v>
      </c>
      <c r="Q130" s="20" t="s">
        <v>251</v>
      </c>
      <c r="R130" s="68"/>
      <c r="S130" s="28">
        <v>46264.0</v>
      </c>
      <c r="T130" s="68"/>
      <c r="U130" s="69"/>
      <c r="V130" s="20" t="s">
        <v>54</v>
      </c>
      <c r="W130" s="70"/>
      <c r="X130" s="21" t="s">
        <v>56</v>
      </c>
      <c r="Y130" s="20" t="s">
        <v>82</v>
      </c>
      <c r="Z130" s="68"/>
      <c r="AA130" s="28">
        <v>46268.0</v>
      </c>
      <c r="AB130" s="29"/>
      <c r="AC130" s="30"/>
      <c r="AD130" s="68"/>
      <c r="AE130" s="71"/>
      <c r="AF130" s="71"/>
      <c r="AG130" s="71"/>
      <c r="AH130" s="69"/>
      <c r="AI130" s="69"/>
    </row>
    <row r="131" ht="19.5" customHeight="1">
      <c r="A131" s="20">
        <v>130.0</v>
      </c>
      <c r="B131" s="20">
        <f t="shared" si="1"/>
        <v>130</v>
      </c>
      <c r="C131" s="21" t="s">
        <v>245</v>
      </c>
      <c r="D131" s="20" t="s">
        <v>351</v>
      </c>
      <c r="E131" s="21" t="s">
        <v>45</v>
      </c>
      <c r="F131" s="21" t="s">
        <v>47</v>
      </c>
      <c r="G131" s="21" t="s">
        <v>431</v>
      </c>
      <c r="H131" s="22" t="s">
        <v>432</v>
      </c>
      <c r="I131" s="20" t="s">
        <v>354</v>
      </c>
      <c r="J131" s="66">
        <v>46341.0</v>
      </c>
      <c r="K131" s="66">
        <v>46344.0</v>
      </c>
      <c r="L131" s="67"/>
      <c r="M131" s="67"/>
      <c r="N131" s="21" t="s">
        <v>433</v>
      </c>
      <c r="O131" s="20" t="s">
        <v>54</v>
      </c>
      <c r="P131" s="20" t="s">
        <v>55</v>
      </c>
      <c r="Q131" s="20" t="s">
        <v>251</v>
      </c>
      <c r="R131" s="68"/>
      <c r="S131" s="28">
        <v>46264.0</v>
      </c>
      <c r="T131" s="68"/>
      <c r="U131" s="69"/>
      <c r="V131" s="20" t="s">
        <v>54</v>
      </c>
      <c r="W131" s="70"/>
      <c r="X131" s="21" t="s">
        <v>56</v>
      </c>
      <c r="Y131" s="20" t="s">
        <v>82</v>
      </c>
      <c r="Z131" s="68"/>
      <c r="AA131" s="28">
        <v>46268.0</v>
      </c>
      <c r="AB131" s="29"/>
      <c r="AC131" s="30"/>
      <c r="AD131" s="68"/>
      <c r="AE131" s="71"/>
      <c r="AF131" s="71"/>
      <c r="AG131" s="71"/>
      <c r="AH131" s="69"/>
      <c r="AI131" s="69"/>
    </row>
    <row r="132" ht="19.5" customHeight="1">
      <c r="A132" s="20">
        <v>131.0</v>
      </c>
      <c r="B132" s="20">
        <f t="shared" si="1"/>
        <v>131</v>
      </c>
      <c r="C132" s="21" t="s">
        <v>245</v>
      </c>
      <c r="D132" s="20" t="s">
        <v>351</v>
      </c>
      <c r="E132" s="21" t="s">
        <v>45</v>
      </c>
      <c r="F132" s="21" t="s">
        <v>47</v>
      </c>
      <c r="G132" s="21" t="s">
        <v>434</v>
      </c>
      <c r="H132" s="22" t="s">
        <v>435</v>
      </c>
      <c r="I132" s="20" t="s">
        <v>354</v>
      </c>
      <c r="J132" s="66">
        <v>46345.0</v>
      </c>
      <c r="K132" s="66">
        <v>46346.0</v>
      </c>
      <c r="L132" s="67"/>
      <c r="M132" s="67"/>
      <c r="N132" s="21" t="s">
        <v>436</v>
      </c>
      <c r="O132" s="20" t="s">
        <v>54</v>
      </c>
      <c r="P132" s="20" t="s">
        <v>55</v>
      </c>
      <c r="Q132" s="20" t="s">
        <v>251</v>
      </c>
      <c r="R132" s="68"/>
      <c r="S132" s="28">
        <v>46264.0</v>
      </c>
      <c r="T132" s="68"/>
      <c r="U132" s="69"/>
      <c r="V132" s="20" t="s">
        <v>54</v>
      </c>
      <c r="W132" s="70"/>
      <c r="X132" s="21" t="s">
        <v>56</v>
      </c>
      <c r="Y132" s="20" t="s">
        <v>82</v>
      </c>
      <c r="Z132" s="68"/>
      <c r="AA132" s="28">
        <v>46268.0</v>
      </c>
      <c r="AB132" s="29"/>
      <c r="AC132" s="30"/>
      <c r="AD132" s="68"/>
      <c r="AE132" s="71"/>
      <c r="AF132" s="71"/>
      <c r="AG132" s="71"/>
      <c r="AH132" s="69"/>
      <c r="AI132" s="69"/>
    </row>
    <row r="133" ht="19.5" customHeight="1">
      <c r="A133" s="20">
        <v>132.0</v>
      </c>
      <c r="B133" s="20">
        <f t="shared" si="1"/>
        <v>132</v>
      </c>
      <c r="C133" s="21" t="s">
        <v>245</v>
      </c>
      <c r="D133" s="20" t="s">
        <v>351</v>
      </c>
      <c r="E133" s="21" t="s">
        <v>45</v>
      </c>
      <c r="F133" s="21" t="s">
        <v>47</v>
      </c>
      <c r="G133" s="21" t="s">
        <v>438</v>
      </c>
      <c r="H133" s="22" t="s">
        <v>439</v>
      </c>
      <c r="I133" s="20" t="s">
        <v>354</v>
      </c>
      <c r="J133" s="66">
        <v>46347.0</v>
      </c>
      <c r="K133" s="66">
        <v>46348.0</v>
      </c>
      <c r="L133" s="67"/>
      <c r="M133" s="67"/>
      <c r="N133" s="21" t="s">
        <v>440</v>
      </c>
      <c r="O133" s="20" t="s">
        <v>54</v>
      </c>
      <c r="P133" s="20" t="s">
        <v>55</v>
      </c>
      <c r="Q133" s="20" t="s">
        <v>251</v>
      </c>
      <c r="R133" s="68"/>
      <c r="S133" s="28">
        <v>46264.0</v>
      </c>
      <c r="T133" s="68"/>
      <c r="U133" s="69"/>
      <c r="V133" s="20" t="s">
        <v>54</v>
      </c>
      <c r="W133" s="70"/>
      <c r="X133" s="21" t="s">
        <v>56</v>
      </c>
      <c r="Y133" s="20" t="s">
        <v>82</v>
      </c>
      <c r="Z133" s="68"/>
      <c r="AA133" s="28">
        <v>46268.0</v>
      </c>
      <c r="AB133" s="29"/>
      <c r="AC133" s="30"/>
      <c r="AD133" s="68"/>
      <c r="AE133" s="71"/>
      <c r="AF133" s="71"/>
      <c r="AG133" s="71"/>
      <c r="AH133" s="69"/>
      <c r="AI133" s="69"/>
    </row>
    <row r="134" ht="19.5" customHeight="1">
      <c r="A134" s="20">
        <v>133.0</v>
      </c>
      <c r="B134" s="20">
        <f t="shared" si="1"/>
        <v>133</v>
      </c>
      <c r="C134" s="21" t="s">
        <v>245</v>
      </c>
      <c r="D134" s="20" t="s">
        <v>351</v>
      </c>
      <c r="E134" s="21" t="s">
        <v>45</v>
      </c>
      <c r="F134" s="21" t="s">
        <v>47</v>
      </c>
      <c r="G134" s="21" t="s">
        <v>441</v>
      </c>
      <c r="H134" s="22" t="s">
        <v>442</v>
      </c>
      <c r="I134" s="20" t="s">
        <v>354</v>
      </c>
      <c r="J134" s="66">
        <v>46368.0</v>
      </c>
      <c r="K134" s="66">
        <v>46372.0</v>
      </c>
      <c r="L134" s="67"/>
      <c r="M134" s="67"/>
      <c r="N134" s="21" t="s">
        <v>443</v>
      </c>
      <c r="O134" s="20" t="s">
        <v>54</v>
      </c>
      <c r="P134" s="20" t="s">
        <v>85</v>
      </c>
      <c r="Q134" s="20" t="s">
        <v>251</v>
      </c>
      <c r="R134" s="68"/>
      <c r="S134" s="28">
        <v>46264.0</v>
      </c>
      <c r="T134" s="68"/>
      <c r="U134" s="69"/>
      <c r="V134" s="20" t="s">
        <v>54</v>
      </c>
      <c r="W134" s="70"/>
      <c r="X134" s="21" t="s">
        <v>56</v>
      </c>
      <c r="Y134" s="20" t="s">
        <v>54</v>
      </c>
      <c r="Z134" s="68"/>
      <c r="AA134" s="29"/>
      <c r="AB134" s="28"/>
      <c r="AC134" s="30"/>
      <c r="AD134" s="68"/>
      <c r="AE134" s="71"/>
      <c r="AF134" s="71"/>
      <c r="AG134" s="71"/>
      <c r="AH134" s="69"/>
      <c r="AI134" s="69"/>
    </row>
    <row r="135" ht="19.5" customHeight="1">
      <c r="A135" s="20">
        <v>134.0</v>
      </c>
      <c r="B135" s="20">
        <f t="shared" si="1"/>
        <v>134</v>
      </c>
      <c r="C135" s="21" t="s">
        <v>245</v>
      </c>
      <c r="D135" s="20" t="s">
        <v>444</v>
      </c>
      <c r="E135" s="21" t="s">
        <v>45</v>
      </c>
      <c r="F135" s="21" t="s">
        <v>47</v>
      </c>
      <c r="G135" s="21" t="s">
        <v>445</v>
      </c>
      <c r="H135" s="22" t="s">
        <v>446</v>
      </c>
      <c r="I135" s="20" t="s">
        <v>447</v>
      </c>
      <c r="J135" s="66">
        <v>46341.0</v>
      </c>
      <c r="K135" s="66">
        <v>46346.0</v>
      </c>
      <c r="L135" s="67"/>
      <c r="M135" s="67"/>
      <c r="N135" s="21" t="s">
        <v>448</v>
      </c>
      <c r="O135" s="20" t="s">
        <v>54</v>
      </c>
      <c r="P135" s="20" t="s">
        <v>55</v>
      </c>
      <c r="Q135" s="20" t="s">
        <v>251</v>
      </c>
      <c r="R135" s="68"/>
      <c r="S135" s="28">
        <v>46264.0</v>
      </c>
      <c r="T135" s="68"/>
      <c r="U135" s="69"/>
      <c r="V135" s="20" t="s">
        <v>54</v>
      </c>
      <c r="W135" s="70"/>
      <c r="X135" s="21" t="s">
        <v>56</v>
      </c>
      <c r="Y135" s="20" t="s">
        <v>82</v>
      </c>
      <c r="Z135" s="68"/>
      <c r="AA135" s="28">
        <v>46268.0</v>
      </c>
      <c r="AB135" s="28">
        <v>46268.0</v>
      </c>
      <c r="AC135" s="30" t="s">
        <v>346</v>
      </c>
      <c r="AD135" s="20" t="s">
        <v>152</v>
      </c>
      <c r="AE135" s="71"/>
      <c r="AF135" s="71"/>
      <c r="AG135" s="71"/>
      <c r="AH135" s="69"/>
      <c r="AI135" s="69"/>
    </row>
    <row r="136" ht="19.5" customHeight="1">
      <c r="A136" s="20">
        <v>135.0</v>
      </c>
      <c r="B136" s="20">
        <f t="shared" si="1"/>
        <v>135</v>
      </c>
      <c r="C136" s="21" t="s">
        <v>245</v>
      </c>
      <c r="D136" s="20" t="s">
        <v>444</v>
      </c>
      <c r="E136" s="21" t="s">
        <v>45</v>
      </c>
      <c r="F136" s="21" t="s">
        <v>47</v>
      </c>
      <c r="G136" s="21" t="s">
        <v>449</v>
      </c>
      <c r="H136" s="22" t="s">
        <v>450</v>
      </c>
      <c r="I136" s="20" t="s">
        <v>447</v>
      </c>
      <c r="J136" s="66">
        <v>46347.0</v>
      </c>
      <c r="K136" s="66">
        <v>46352.0</v>
      </c>
      <c r="L136" s="67"/>
      <c r="M136" s="67"/>
      <c r="N136" s="21" t="s">
        <v>451</v>
      </c>
      <c r="O136" s="20" t="s">
        <v>54</v>
      </c>
      <c r="P136" s="20" t="s">
        <v>55</v>
      </c>
      <c r="Q136" s="20" t="s">
        <v>251</v>
      </c>
      <c r="R136" s="68"/>
      <c r="S136" s="28">
        <v>46264.0</v>
      </c>
      <c r="T136" s="68"/>
      <c r="U136" s="69"/>
      <c r="V136" s="20" t="s">
        <v>54</v>
      </c>
      <c r="W136" s="70"/>
      <c r="X136" s="21" t="s">
        <v>56</v>
      </c>
      <c r="Y136" s="20" t="s">
        <v>82</v>
      </c>
      <c r="Z136" s="68"/>
      <c r="AA136" s="28">
        <v>46268.0</v>
      </c>
      <c r="AB136" s="28">
        <v>46268.0</v>
      </c>
      <c r="AC136" s="30" t="s">
        <v>346</v>
      </c>
      <c r="AD136" s="20" t="s">
        <v>152</v>
      </c>
      <c r="AE136" s="71"/>
      <c r="AF136" s="71"/>
      <c r="AG136" s="71"/>
      <c r="AH136" s="69"/>
      <c r="AI136" s="69"/>
    </row>
    <row r="137" ht="19.5" customHeight="1">
      <c r="A137" s="20">
        <v>136.0</v>
      </c>
      <c r="B137" s="20">
        <f t="shared" si="1"/>
        <v>136</v>
      </c>
      <c r="C137" s="21" t="s">
        <v>245</v>
      </c>
      <c r="D137" s="20" t="s">
        <v>444</v>
      </c>
      <c r="E137" s="21" t="s">
        <v>45</v>
      </c>
      <c r="F137" s="21" t="s">
        <v>47</v>
      </c>
      <c r="G137" s="21" t="s">
        <v>452</v>
      </c>
      <c r="H137" s="22" t="s">
        <v>453</v>
      </c>
      <c r="I137" s="20" t="s">
        <v>447</v>
      </c>
      <c r="J137" s="66">
        <v>46347.0</v>
      </c>
      <c r="K137" s="66">
        <v>46352.0</v>
      </c>
      <c r="L137" s="67"/>
      <c r="M137" s="67"/>
      <c r="N137" s="21" t="s">
        <v>454</v>
      </c>
      <c r="O137" s="20" t="s">
        <v>54</v>
      </c>
      <c r="P137" s="20" t="s">
        <v>55</v>
      </c>
      <c r="Q137" s="20" t="s">
        <v>251</v>
      </c>
      <c r="R137" s="68"/>
      <c r="S137" s="28">
        <v>46264.0</v>
      </c>
      <c r="T137" s="68"/>
      <c r="U137" s="69"/>
      <c r="V137" s="20" t="s">
        <v>54</v>
      </c>
      <c r="W137" s="70"/>
      <c r="X137" s="21" t="s">
        <v>56</v>
      </c>
      <c r="Y137" s="20" t="s">
        <v>82</v>
      </c>
      <c r="Z137" s="68"/>
      <c r="AA137" s="28">
        <v>46268.0</v>
      </c>
      <c r="AB137" s="28">
        <v>46268.0</v>
      </c>
      <c r="AC137" s="30" t="s">
        <v>346</v>
      </c>
      <c r="AD137" s="20" t="s">
        <v>152</v>
      </c>
      <c r="AE137" s="71"/>
      <c r="AF137" s="71"/>
      <c r="AG137" s="71"/>
      <c r="AH137" s="69"/>
      <c r="AI137" s="69"/>
    </row>
    <row r="138" ht="19.5" customHeight="1">
      <c r="A138" s="20">
        <v>137.0</v>
      </c>
      <c r="B138" s="20">
        <f t="shared" si="1"/>
        <v>137</v>
      </c>
      <c r="C138" s="21" t="s">
        <v>245</v>
      </c>
      <c r="D138" s="20" t="s">
        <v>444</v>
      </c>
      <c r="E138" s="21" t="s">
        <v>45</v>
      </c>
      <c r="F138" s="21" t="s">
        <v>47</v>
      </c>
      <c r="G138" s="21" t="s">
        <v>455</v>
      </c>
      <c r="H138" s="22" t="s">
        <v>456</v>
      </c>
      <c r="I138" s="20" t="s">
        <v>457</v>
      </c>
      <c r="J138" s="66">
        <v>46382.0</v>
      </c>
      <c r="K138" s="66">
        <v>46383.0</v>
      </c>
      <c r="L138" s="67"/>
      <c r="M138" s="67"/>
      <c r="N138" s="21" t="s">
        <v>458</v>
      </c>
      <c r="O138" s="20" t="s">
        <v>82</v>
      </c>
      <c r="P138" s="20" t="s">
        <v>85</v>
      </c>
      <c r="Q138" s="20" t="s">
        <v>251</v>
      </c>
      <c r="R138" s="68"/>
      <c r="S138" s="28">
        <v>46264.0</v>
      </c>
      <c r="T138" s="68"/>
      <c r="U138" s="69"/>
      <c r="V138" s="20" t="s">
        <v>54</v>
      </c>
      <c r="W138" s="70"/>
      <c r="X138" s="21" t="s">
        <v>56</v>
      </c>
      <c r="Y138" s="20" t="s">
        <v>82</v>
      </c>
      <c r="Z138" s="20" t="s">
        <v>54</v>
      </c>
      <c r="AA138" s="28">
        <v>46268.0</v>
      </c>
      <c r="AB138" s="28">
        <v>46268.0</v>
      </c>
      <c r="AC138" s="30" t="s">
        <v>346</v>
      </c>
      <c r="AD138" s="20" t="s">
        <v>152</v>
      </c>
      <c r="AE138" s="71"/>
      <c r="AF138" s="71"/>
      <c r="AG138" s="71"/>
      <c r="AH138" s="69"/>
      <c r="AI138" s="69"/>
    </row>
    <row r="139" ht="19.5" customHeight="1">
      <c r="A139" s="20">
        <v>138.0</v>
      </c>
      <c r="B139" s="20">
        <f t="shared" si="1"/>
        <v>138</v>
      </c>
      <c r="C139" s="21" t="s">
        <v>245</v>
      </c>
      <c r="D139" s="20" t="s">
        <v>444</v>
      </c>
      <c r="E139" s="21" t="s">
        <v>45</v>
      </c>
      <c r="F139" s="21" t="s">
        <v>47</v>
      </c>
      <c r="G139" s="21" t="s">
        <v>459</v>
      </c>
      <c r="H139" s="22" t="s">
        <v>460</v>
      </c>
      <c r="I139" s="20" t="s">
        <v>447</v>
      </c>
      <c r="J139" s="66">
        <v>46359.0</v>
      </c>
      <c r="K139" s="66">
        <v>46362.0</v>
      </c>
      <c r="L139" s="67"/>
      <c r="M139" s="67"/>
      <c r="N139" s="21" t="s">
        <v>461</v>
      </c>
      <c r="O139" s="20" t="s">
        <v>54</v>
      </c>
      <c r="P139" s="20" t="s">
        <v>55</v>
      </c>
      <c r="Q139" s="20" t="s">
        <v>251</v>
      </c>
      <c r="R139" s="68"/>
      <c r="S139" s="28">
        <v>46264.0</v>
      </c>
      <c r="T139" s="68"/>
      <c r="U139" s="69"/>
      <c r="V139" s="20" t="s">
        <v>54</v>
      </c>
      <c r="W139" s="70"/>
      <c r="X139" s="21" t="s">
        <v>56</v>
      </c>
      <c r="Y139" s="20" t="s">
        <v>82</v>
      </c>
      <c r="Z139" s="68"/>
      <c r="AA139" s="28">
        <v>46268.0</v>
      </c>
      <c r="AB139" s="28">
        <v>46268.0</v>
      </c>
      <c r="AC139" s="30" t="s">
        <v>346</v>
      </c>
      <c r="AD139" s="20" t="s">
        <v>152</v>
      </c>
      <c r="AE139" s="71"/>
      <c r="AF139" s="71"/>
      <c r="AG139" s="71"/>
      <c r="AH139" s="69"/>
      <c r="AI139" s="69"/>
    </row>
    <row r="140" ht="19.5" customHeight="1">
      <c r="A140" s="20">
        <v>139.0</v>
      </c>
      <c r="B140" s="20">
        <f t="shared" si="1"/>
        <v>139</v>
      </c>
      <c r="C140" s="21" t="s">
        <v>245</v>
      </c>
      <c r="D140" s="20" t="s">
        <v>444</v>
      </c>
      <c r="E140" s="21" t="s">
        <v>45</v>
      </c>
      <c r="F140" s="21" t="s">
        <v>47</v>
      </c>
      <c r="G140" s="21" t="s">
        <v>462</v>
      </c>
      <c r="H140" s="22" t="s">
        <v>463</v>
      </c>
      <c r="I140" s="20" t="s">
        <v>447</v>
      </c>
      <c r="J140" s="66">
        <v>46365.0</v>
      </c>
      <c r="K140" s="66">
        <v>46366.0</v>
      </c>
      <c r="L140" s="67"/>
      <c r="M140" s="67"/>
      <c r="N140" s="21" t="s">
        <v>464</v>
      </c>
      <c r="O140" s="20" t="s">
        <v>54</v>
      </c>
      <c r="P140" s="20" t="s">
        <v>55</v>
      </c>
      <c r="Q140" s="20" t="s">
        <v>251</v>
      </c>
      <c r="R140" s="68"/>
      <c r="S140" s="28">
        <v>46264.0</v>
      </c>
      <c r="T140" s="68"/>
      <c r="U140" s="69"/>
      <c r="V140" s="20" t="s">
        <v>54</v>
      </c>
      <c r="W140" s="70"/>
      <c r="X140" s="21" t="s">
        <v>56</v>
      </c>
      <c r="Y140" s="20" t="s">
        <v>82</v>
      </c>
      <c r="Z140" s="68"/>
      <c r="AA140" s="28">
        <v>46268.0</v>
      </c>
      <c r="AB140" s="28">
        <v>46268.0</v>
      </c>
      <c r="AC140" s="30" t="s">
        <v>346</v>
      </c>
      <c r="AD140" s="20" t="s">
        <v>152</v>
      </c>
      <c r="AE140" s="71"/>
      <c r="AF140" s="71"/>
      <c r="AG140" s="71"/>
      <c r="AH140" s="69"/>
      <c r="AI140" s="69"/>
    </row>
    <row r="141" ht="19.5" customHeight="1">
      <c r="A141" s="20">
        <v>140.0</v>
      </c>
      <c r="B141" s="20">
        <f t="shared" si="1"/>
        <v>140</v>
      </c>
      <c r="C141" s="21" t="s">
        <v>245</v>
      </c>
      <c r="D141" s="20" t="s">
        <v>444</v>
      </c>
      <c r="E141" s="21" t="s">
        <v>45</v>
      </c>
      <c r="F141" s="21" t="s">
        <v>47</v>
      </c>
      <c r="G141" s="21" t="s">
        <v>465</v>
      </c>
      <c r="H141" s="22" t="s">
        <v>466</v>
      </c>
      <c r="I141" s="20" t="s">
        <v>447</v>
      </c>
      <c r="J141" s="66">
        <v>46367.0</v>
      </c>
      <c r="K141" s="66">
        <v>46368.0</v>
      </c>
      <c r="L141" s="67"/>
      <c r="M141" s="67"/>
      <c r="N141" s="21" t="s">
        <v>467</v>
      </c>
      <c r="O141" s="20" t="s">
        <v>82</v>
      </c>
      <c r="P141" s="20" t="s">
        <v>55</v>
      </c>
      <c r="Q141" s="20" t="s">
        <v>251</v>
      </c>
      <c r="R141" s="68"/>
      <c r="S141" s="28">
        <v>46264.0</v>
      </c>
      <c r="T141" s="68"/>
      <c r="U141" s="69"/>
      <c r="V141" s="20" t="s">
        <v>54</v>
      </c>
      <c r="W141" s="70"/>
      <c r="X141" s="21" t="s">
        <v>56</v>
      </c>
      <c r="Y141" s="20" t="s">
        <v>82</v>
      </c>
      <c r="Z141" s="68"/>
      <c r="AA141" s="28">
        <v>46268.0</v>
      </c>
      <c r="AB141" s="29"/>
      <c r="AC141" s="30"/>
      <c r="AD141" s="68"/>
      <c r="AE141" s="71"/>
      <c r="AF141" s="71"/>
      <c r="AG141" s="71"/>
      <c r="AH141" s="69"/>
      <c r="AI141" s="69"/>
    </row>
    <row r="142" ht="19.5" customHeight="1">
      <c r="A142" s="20">
        <v>141.0</v>
      </c>
      <c r="B142" s="20">
        <f t="shared" si="1"/>
        <v>141</v>
      </c>
      <c r="C142" s="21" t="s">
        <v>245</v>
      </c>
      <c r="D142" s="20" t="s">
        <v>444</v>
      </c>
      <c r="E142" s="21" t="s">
        <v>45</v>
      </c>
      <c r="F142" s="21" t="s">
        <v>47</v>
      </c>
      <c r="G142" s="21" t="s">
        <v>468</v>
      </c>
      <c r="H142" s="22" t="s">
        <v>469</v>
      </c>
      <c r="I142" s="20" t="s">
        <v>457</v>
      </c>
      <c r="J142" s="66">
        <v>46386.0</v>
      </c>
      <c r="K142" s="66">
        <v>46387.0</v>
      </c>
      <c r="L142" s="67"/>
      <c r="M142" s="67"/>
      <c r="N142" s="21" t="s">
        <v>470</v>
      </c>
      <c r="O142" s="20" t="s">
        <v>82</v>
      </c>
      <c r="P142" s="20" t="s">
        <v>85</v>
      </c>
      <c r="Q142" s="20" t="s">
        <v>251</v>
      </c>
      <c r="R142" s="68"/>
      <c r="S142" s="28">
        <v>46264.0</v>
      </c>
      <c r="T142" s="68"/>
      <c r="U142" s="69"/>
      <c r="V142" s="20" t="s">
        <v>54</v>
      </c>
      <c r="W142" s="70"/>
      <c r="X142" s="21" t="s">
        <v>56</v>
      </c>
      <c r="Y142" s="20" t="s">
        <v>82</v>
      </c>
      <c r="Z142" s="20" t="s">
        <v>54</v>
      </c>
      <c r="AA142" s="28">
        <v>46268.0</v>
      </c>
      <c r="AB142" s="29"/>
      <c r="AC142" s="30"/>
      <c r="AD142" s="68"/>
      <c r="AE142" s="71"/>
      <c r="AF142" s="71"/>
      <c r="AG142" s="71"/>
      <c r="AH142" s="69"/>
      <c r="AI142" s="69"/>
    </row>
    <row r="143" ht="19.5" customHeight="1">
      <c r="A143" s="20">
        <v>142.0</v>
      </c>
      <c r="B143" s="20">
        <f t="shared" si="1"/>
        <v>142</v>
      </c>
      <c r="C143" s="21" t="s">
        <v>245</v>
      </c>
      <c r="D143" s="20" t="s">
        <v>444</v>
      </c>
      <c r="E143" s="21" t="s">
        <v>45</v>
      </c>
      <c r="F143" s="21" t="s">
        <v>47</v>
      </c>
      <c r="G143" s="21" t="s">
        <v>471</v>
      </c>
      <c r="H143" s="22" t="s">
        <v>472</v>
      </c>
      <c r="I143" s="20" t="s">
        <v>447</v>
      </c>
      <c r="J143" s="66">
        <v>46369.0</v>
      </c>
      <c r="K143" s="66">
        <v>46372.0</v>
      </c>
      <c r="L143" s="67"/>
      <c r="M143" s="67"/>
      <c r="N143" s="21" t="s">
        <v>473</v>
      </c>
      <c r="O143" s="20" t="s">
        <v>54</v>
      </c>
      <c r="P143" s="20" t="s">
        <v>76</v>
      </c>
      <c r="Q143" s="20" t="s">
        <v>251</v>
      </c>
      <c r="R143" s="68"/>
      <c r="S143" s="28">
        <v>46264.0</v>
      </c>
      <c r="T143" s="68"/>
      <c r="U143" s="69"/>
      <c r="V143" s="20" t="s">
        <v>54</v>
      </c>
      <c r="W143" s="70"/>
      <c r="X143" s="21" t="s">
        <v>56</v>
      </c>
      <c r="Y143" s="20" t="s">
        <v>82</v>
      </c>
      <c r="Z143" s="68"/>
      <c r="AA143" s="28">
        <v>46268.0</v>
      </c>
      <c r="AB143" s="28">
        <v>46268.0</v>
      </c>
      <c r="AC143" s="30" t="s">
        <v>346</v>
      </c>
      <c r="AD143" s="20" t="s">
        <v>151</v>
      </c>
      <c r="AE143" s="71"/>
      <c r="AF143" s="71"/>
      <c r="AG143" s="71"/>
      <c r="AH143" s="69"/>
      <c r="AI143" s="69"/>
    </row>
    <row r="144" ht="19.5" customHeight="1">
      <c r="A144" s="20">
        <v>143.0</v>
      </c>
      <c r="B144" s="20">
        <f t="shared" si="1"/>
        <v>143</v>
      </c>
      <c r="C144" s="21" t="s">
        <v>245</v>
      </c>
      <c r="D144" s="20" t="s">
        <v>444</v>
      </c>
      <c r="E144" s="21" t="s">
        <v>45</v>
      </c>
      <c r="F144" s="21" t="s">
        <v>47</v>
      </c>
      <c r="G144" s="21" t="s">
        <v>474</v>
      </c>
      <c r="H144" s="22" t="s">
        <v>475</v>
      </c>
      <c r="I144" s="20" t="s">
        <v>447</v>
      </c>
      <c r="J144" s="66">
        <v>46373.0</v>
      </c>
      <c r="K144" s="66">
        <v>46374.0</v>
      </c>
      <c r="L144" s="67"/>
      <c r="M144" s="67"/>
      <c r="N144" s="21" t="s">
        <v>476</v>
      </c>
      <c r="O144" s="20" t="s">
        <v>54</v>
      </c>
      <c r="P144" s="20" t="s">
        <v>76</v>
      </c>
      <c r="Q144" s="20" t="s">
        <v>251</v>
      </c>
      <c r="R144" s="68"/>
      <c r="S144" s="28">
        <v>46264.0</v>
      </c>
      <c r="T144" s="68"/>
      <c r="U144" s="69"/>
      <c r="V144" s="20" t="s">
        <v>54</v>
      </c>
      <c r="W144" s="70"/>
      <c r="X144" s="21" t="s">
        <v>56</v>
      </c>
      <c r="Y144" s="20" t="s">
        <v>82</v>
      </c>
      <c r="Z144" s="68"/>
      <c r="AA144" s="28">
        <v>46268.0</v>
      </c>
      <c r="AB144" s="28">
        <v>46268.0</v>
      </c>
      <c r="AC144" s="30" t="s">
        <v>346</v>
      </c>
      <c r="AD144" s="20" t="s">
        <v>151</v>
      </c>
      <c r="AE144" s="71"/>
      <c r="AF144" s="71"/>
      <c r="AG144" s="71"/>
      <c r="AH144" s="69"/>
      <c r="AI144" s="69"/>
    </row>
    <row r="145" ht="19.5" customHeight="1">
      <c r="A145" s="20">
        <v>144.0</v>
      </c>
      <c r="B145" s="20">
        <f t="shared" si="1"/>
        <v>144</v>
      </c>
      <c r="C145" s="21" t="s">
        <v>245</v>
      </c>
      <c r="D145" s="20" t="s">
        <v>444</v>
      </c>
      <c r="E145" s="21" t="s">
        <v>45</v>
      </c>
      <c r="F145" s="21" t="s">
        <v>47</v>
      </c>
      <c r="G145" s="21" t="s">
        <v>477</v>
      </c>
      <c r="H145" s="22" t="s">
        <v>478</v>
      </c>
      <c r="I145" s="20" t="s">
        <v>447</v>
      </c>
      <c r="J145" s="66">
        <v>46375.0</v>
      </c>
      <c r="K145" s="66">
        <v>46376.0</v>
      </c>
      <c r="L145" s="67"/>
      <c r="M145" s="67"/>
      <c r="N145" s="21" t="s">
        <v>479</v>
      </c>
      <c r="O145" s="20" t="s">
        <v>54</v>
      </c>
      <c r="P145" s="20" t="s">
        <v>76</v>
      </c>
      <c r="Q145" s="20" t="s">
        <v>251</v>
      </c>
      <c r="R145" s="68"/>
      <c r="S145" s="28">
        <v>46264.0</v>
      </c>
      <c r="T145" s="68"/>
      <c r="U145" s="69"/>
      <c r="V145" s="20" t="s">
        <v>54</v>
      </c>
      <c r="W145" s="70"/>
      <c r="X145" s="21" t="s">
        <v>56</v>
      </c>
      <c r="Y145" s="20" t="s">
        <v>82</v>
      </c>
      <c r="Z145" s="68"/>
      <c r="AA145" s="28">
        <v>46268.0</v>
      </c>
      <c r="AB145" s="28">
        <v>46268.0</v>
      </c>
      <c r="AC145" s="30" t="s">
        <v>346</v>
      </c>
      <c r="AD145" s="20" t="s">
        <v>151</v>
      </c>
      <c r="AE145" s="71"/>
      <c r="AF145" s="71"/>
      <c r="AG145" s="71"/>
      <c r="AH145" s="69"/>
      <c r="AI145" s="69"/>
    </row>
    <row r="146" ht="19.5" customHeight="1">
      <c r="A146" s="20">
        <v>145.0</v>
      </c>
      <c r="B146" s="20">
        <f t="shared" si="1"/>
        <v>145</v>
      </c>
      <c r="C146" s="21" t="s">
        <v>245</v>
      </c>
      <c r="D146" s="20" t="s">
        <v>444</v>
      </c>
      <c r="E146" s="21" t="s">
        <v>45</v>
      </c>
      <c r="F146" s="21" t="s">
        <v>47</v>
      </c>
      <c r="G146" s="21" t="s">
        <v>482</v>
      </c>
      <c r="H146" s="22" t="s">
        <v>483</v>
      </c>
      <c r="I146" s="20" t="s">
        <v>447</v>
      </c>
      <c r="J146" s="66">
        <v>46379.0</v>
      </c>
      <c r="K146" s="66">
        <v>46382.0</v>
      </c>
      <c r="L146" s="67"/>
      <c r="M146" s="67"/>
      <c r="N146" s="21" t="s">
        <v>484</v>
      </c>
      <c r="O146" s="20" t="s">
        <v>54</v>
      </c>
      <c r="P146" s="20" t="s">
        <v>76</v>
      </c>
      <c r="Q146" s="20" t="s">
        <v>251</v>
      </c>
      <c r="R146" s="68"/>
      <c r="S146" s="28">
        <v>46264.0</v>
      </c>
      <c r="T146" s="68"/>
      <c r="U146" s="69"/>
      <c r="V146" s="20" t="s">
        <v>54</v>
      </c>
      <c r="W146" s="70"/>
      <c r="X146" s="21" t="s">
        <v>56</v>
      </c>
      <c r="Y146" s="20" t="s">
        <v>82</v>
      </c>
      <c r="Z146" s="68"/>
      <c r="AA146" s="28">
        <v>46268.0</v>
      </c>
      <c r="AB146" s="28">
        <v>46268.0</v>
      </c>
      <c r="AC146" s="30" t="s">
        <v>346</v>
      </c>
      <c r="AD146" s="20" t="s">
        <v>151</v>
      </c>
      <c r="AE146" s="71"/>
      <c r="AF146" s="71"/>
      <c r="AG146" s="71"/>
      <c r="AH146" s="69"/>
      <c r="AI146" s="69"/>
    </row>
    <row r="147" ht="19.5" customHeight="1">
      <c r="A147" s="20">
        <v>146.0</v>
      </c>
      <c r="B147" s="20">
        <f t="shared" si="1"/>
        <v>146</v>
      </c>
      <c r="C147" s="21" t="s">
        <v>245</v>
      </c>
      <c r="D147" s="20" t="s">
        <v>444</v>
      </c>
      <c r="E147" s="21" t="s">
        <v>45</v>
      </c>
      <c r="F147" s="21" t="s">
        <v>47</v>
      </c>
      <c r="G147" s="21" t="s">
        <v>486</v>
      </c>
      <c r="H147" s="22" t="s">
        <v>487</v>
      </c>
      <c r="I147" s="20" t="s">
        <v>447</v>
      </c>
      <c r="J147" s="66">
        <v>46383.0</v>
      </c>
      <c r="K147" s="66">
        <v>46386.0</v>
      </c>
      <c r="L147" s="67"/>
      <c r="M147" s="67"/>
      <c r="N147" s="21" t="s">
        <v>488</v>
      </c>
      <c r="O147" s="20" t="s">
        <v>54</v>
      </c>
      <c r="P147" s="20" t="s">
        <v>76</v>
      </c>
      <c r="Q147" s="20" t="s">
        <v>251</v>
      </c>
      <c r="R147" s="68"/>
      <c r="S147" s="28">
        <v>46264.0</v>
      </c>
      <c r="T147" s="68"/>
      <c r="U147" s="69"/>
      <c r="V147" s="20" t="s">
        <v>54</v>
      </c>
      <c r="W147" s="70"/>
      <c r="X147" s="21" t="s">
        <v>56</v>
      </c>
      <c r="Y147" s="20" t="s">
        <v>82</v>
      </c>
      <c r="Z147" s="68"/>
      <c r="AA147" s="28">
        <v>46268.0</v>
      </c>
      <c r="AB147" s="29"/>
      <c r="AC147" s="30"/>
      <c r="AD147" s="68"/>
      <c r="AE147" s="71"/>
      <c r="AF147" s="71"/>
      <c r="AG147" s="71"/>
      <c r="AH147" s="69"/>
      <c r="AI147" s="69"/>
    </row>
    <row r="148" ht="19.5" customHeight="1">
      <c r="A148" s="20">
        <v>147.0</v>
      </c>
      <c r="B148" s="20">
        <f t="shared" si="1"/>
        <v>147</v>
      </c>
      <c r="C148" s="21" t="s">
        <v>245</v>
      </c>
      <c r="D148" s="20" t="s">
        <v>444</v>
      </c>
      <c r="E148" s="21" t="s">
        <v>45</v>
      </c>
      <c r="F148" s="21" t="s">
        <v>47</v>
      </c>
      <c r="G148" s="21" t="s">
        <v>489</v>
      </c>
      <c r="H148" s="22" t="s">
        <v>490</v>
      </c>
      <c r="I148" s="20" t="s">
        <v>447</v>
      </c>
      <c r="J148" s="66">
        <v>46387.0</v>
      </c>
      <c r="K148" s="66">
        <v>46387.0</v>
      </c>
      <c r="L148" s="67"/>
      <c r="M148" s="67"/>
      <c r="N148" s="21" t="s">
        <v>491</v>
      </c>
      <c r="O148" s="20" t="s">
        <v>54</v>
      </c>
      <c r="P148" s="20" t="s">
        <v>76</v>
      </c>
      <c r="Q148" s="20" t="s">
        <v>251</v>
      </c>
      <c r="R148" s="68"/>
      <c r="S148" s="28">
        <v>46264.0</v>
      </c>
      <c r="T148" s="68"/>
      <c r="U148" s="69"/>
      <c r="V148" s="20" t="s">
        <v>54</v>
      </c>
      <c r="W148" s="70"/>
      <c r="X148" s="21" t="s">
        <v>56</v>
      </c>
      <c r="Y148" s="20" t="s">
        <v>82</v>
      </c>
      <c r="Z148" s="68"/>
      <c r="AA148" s="28">
        <v>46268.0</v>
      </c>
      <c r="AB148" s="29"/>
      <c r="AC148" s="30"/>
      <c r="AD148" s="68"/>
      <c r="AE148" s="71"/>
      <c r="AF148" s="71"/>
      <c r="AG148" s="71"/>
      <c r="AH148" s="69"/>
      <c r="AI148" s="69"/>
    </row>
    <row r="149" ht="19.5" customHeight="1">
      <c r="A149" s="20">
        <v>148.0</v>
      </c>
      <c r="B149" s="20">
        <f t="shared" si="1"/>
        <v>148</v>
      </c>
      <c r="C149" s="21" t="s">
        <v>245</v>
      </c>
      <c r="D149" s="20" t="s">
        <v>444</v>
      </c>
      <c r="E149" s="21" t="s">
        <v>45</v>
      </c>
      <c r="F149" s="21" t="s">
        <v>47</v>
      </c>
      <c r="G149" s="21" t="s">
        <v>492</v>
      </c>
      <c r="H149" s="22" t="s">
        <v>493</v>
      </c>
      <c r="I149" s="20" t="s">
        <v>447</v>
      </c>
      <c r="J149" s="66">
        <v>46341.0</v>
      </c>
      <c r="K149" s="66">
        <v>46346.0</v>
      </c>
      <c r="L149" s="67"/>
      <c r="M149" s="67"/>
      <c r="N149" s="21" t="s">
        <v>494</v>
      </c>
      <c r="O149" s="20" t="s">
        <v>54</v>
      </c>
      <c r="P149" s="20" t="s">
        <v>76</v>
      </c>
      <c r="Q149" s="20" t="s">
        <v>251</v>
      </c>
      <c r="R149" s="68"/>
      <c r="S149" s="28">
        <v>46264.0</v>
      </c>
      <c r="T149" s="68"/>
      <c r="U149" s="69"/>
      <c r="V149" s="20" t="s">
        <v>54</v>
      </c>
      <c r="W149" s="70"/>
      <c r="X149" s="21" t="s">
        <v>56</v>
      </c>
      <c r="Y149" s="20" t="s">
        <v>54</v>
      </c>
      <c r="Z149" s="68"/>
      <c r="AA149" s="29"/>
      <c r="AB149" s="29"/>
      <c r="AC149" s="30"/>
      <c r="AD149" s="68"/>
      <c r="AE149" s="71"/>
      <c r="AF149" s="71"/>
      <c r="AG149" s="71"/>
      <c r="AH149" s="69"/>
      <c r="AI149" s="69"/>
    </row>
    <row r="150" ht="19.5" customHeight="1">
      <c r="A150" s="20">
        <v>149.0</v>
      </c>
      <c r="B150" s="20">
        <f t="shared" si="1"/>
        <v>149</v>
      </c>
      <c r="C150" s="21" t="s">
        <v>245</v>
      </c>
      <c r="D150" s="20" t="s">
        <v>444</v>
      </c>
      <c r="E150" s="21" t="s">
        <v>45</v>
      </c>
      <c r="F150" s="21" t="s">
        <v>47</v>
      </c>
      <c r="G150" s="21" t="s">
        <v>495</v>
      </c>
      <c r="H150" s="22" t="s">
        <v>496</v>
      </c>
      <c r="I150" s="20" t="s">
        <v>447</v>
      </c>
      <c r="J150" s="66">
        <v>46353.0</v>
      </c>
      <c r="K150" s="66">
        <v>46354.0</v>
      </c>
      <c r="L150" s="67"/>
      <c r="M150" s="67"/>
      <c r="N150" s="21" t="s">
        <v>497</v>
      </c>
      <c r="O150" s="20" t="s">
        <v>54</v>
      </c>
      <c r="P150" s="20" t="s">
        <v>76</v>
      </c>
      <c r="Q150" s="20" t="s">
        <v>251</v>
      </c>
      <c r="R150" s="68"/>
      <c r="S150" s="28">
        <v>46264.0</v>
      </c>
      <c r="T150" s="68"/>
      <c r="U150" s="69"/>
      <c r="V150" s="20" t="s">
        <v>54</v>
      </c>
      <c r="W150" s="70"/>
      <c r="X150" s="21" t="s">
        <v>56</v>
      </c>
      <c r="Y150" s="20" t="s">
        <v>54</v>
      </c>
      <c r="Z150" s="68"/>
      <c r="AA150" s="29"/>
      <c r="AB150" s="29"/>
      <c r="AC150" s="30"/>
      <c r="AD150" s="68"/>
      <c r="AE150" s="71"/>
      <c r="AF150" s="71"/>
      <c r="AG150" s="71"/>
      <c r="AH150" s="69"/>
      <c r="AI150" s="69"/>
    </row>
    <row r="151" ht="19.5" customHeight="1">
      <c r="A151" s="20">
        <v>150.0</v>
      </c>
      <c r="B151" s="20">
        <f t="shared" si="1"/>
        <v>150</v>
      </c>
      <c r="C151" s="21" t="s">
        <v>245</v>
      </c>
      <c r="D151" s="20" t="s">
        <v>444</v>
      </c>
      <c r="E151" s="21" t="s">
        <v>45</v>
      </c>
      <c r="F151" s="21" t="s">
        <v>47</v>
      </c>
      <c r="G151" s="21" t="s">
        <v>498</v>
      </c>
      <c r="H151" s="22" t="s">
        <v>499</v>
      </c>
      <c r="I151" s="20" t="s">
        <v>447</v>
      </c>
      <c r="J151" s="66">
        <v>46355.0</v>
      </c>
      <c r="K151" s="66">
        <v>46358.0</v>
      </c>
      <c r="L151" s="67"/>
      <c r="M151" s="67"/>
      <c r="N151" s="21" t="s">
        <v>500</v>
      </c>
      <c r="O151" s="20" t="s">
        <v>54</v>
      </c>
      <c r="P151" s="20" t="s">
        <v>76</v>
      </c>
      <c r="Q151" s="20" t="s">
        <v>251</v>
      </c>
      <c r="R151" s="68"/>
      <c r="S151" s="28">
        <v>46264.0</v>
      </c>
      <c r="T151" s="68"/>
      <c r="U151" s="69"/>
      <c r="V151" s="20" t="s">
        <v>54</v>
      </c>
      <c r="W151" s="70"/>
      <c r="X151" s="21" t="s">
        <v>56</v>
      </c>
      <c r="Y151" s="20" t="s">
        <v>54</v>
      </c>
      <c r="Z151" s="68"/>
      <c r="AA151" s="29"/>
      <c r="AB151" s="29"/>
      <c r="AC151" s="30"/>
      <c r="AD151" s="68"/>
      <c r="AE151" s="71"/>
      <c r="AF151" s="71"/>
      <c r="AG151" s="71"/>
      <c r="AH151" s="69"/>
      <c r="AI151" s="69"/>
    </row>
    <row r="152" ht="19.5" customHeight="1">
      <c r="A152" s="20">
        <v>151.0</v>
      </c>
      <c r="B152" s="20">
        <f t="shared" si="1"/>
        <v>151</v>
      </c>
      <c r="C152" s="21" t="s">
        <v>245</v>
      </c>
      <c r="D152" s="20" t="s">
        <v>444</v>
      </c>
      <c r="E152" s="21" t="s">
        <v>45</v>
      </c>
      <c r="F152" s="21" t="s">
        <v>47</v>
      </c>
      <c r="G152" s="21" t="s">
        <v>501</v>
      </c>
      <c r="H152" s="22" t="s">
        <v>502</v>
      </c>
      <c r="I152" s="20" t="s">
        <v>447</v>
      </c>
      <c r="J152" s="66">
        <v>46359.0</v>
      </c>
      <c r="K152" s="66">
        <v>46362.0</v>
      </c>
      <c r="L152" s="67"/>
      <c r="M152" s="67"/>
      <c r="N152" s="21" t="s">
        <v>503</v>
      </c>
      <c r="O152" s="20" t="s">
        <v>54</v>
      </c>
      <c r="P152" s="20" t="s">
        <v>76</v>
      </c>
      <c r="Q152" s="20" t="s">
        <v>251</v>
      </c>
      <c r="R152" s="68"/>
      <c r="S152" s="28">
        <v>46264.0</v>
      </c>
      <c r="T152" s="68"/>
      <c r="U152" s="69"/>
      <c r="V152" s="20" t="s">
        <v>54</v>
      </c>
      <c r="W152" s="70"/>
      <c r="X152" s="21" t="s">
        <v>56</v>
      </c>
      <c r="Y152" s="20" t="s">
        <v>54</v>
      </c>
      <c r="Z152" s="68"/>
      <c r="AA152" s="29"/>
      <c r="AB152" s="29"/>
      <c r="AC152" s="30"/>
      <c r="AD152" s="68"/>
      <c r="AE152" s="71"/>
      <c r="AF152" s="71"/>
      <c r="AG152" s="71"/>
      <c r="AH152" s="69"/>
      <c r="AI152" s="69"/>
    </row>
    <row r="153" ht="19.5" customHeight="1">
      <c r="A153" s="20">
        <v>152.0</v>
      </c>
      <c r="B153" s="20">
        <f t="shared" si="1"/>
        <v>152</v>
      </c>
      <c r="C153" s="21" t="s">
        <v>245</v>
      </c>
      <c r="D153" s="20" t="s">
        <v>444</v>
      </c>
      <c r="E153" s="21" t="s">
        <v>45</v>
      </c>
      <c r="F153" s="21" t="s">
        <v>47</v>
      </c>
      <c r="G153" s="21" t="s">
        <v>504</v>
      </c>
      <c r="H153" s="22" t="s">
        <v>505</v>
      </c>
      <c r="I153" s="20" t="s">
        <v>447</v>
      </c>
      <c r="J153" s="66">
        <v>46363.0</v>
      </c>
      <c r="K153" s="66">
        <v>46364.0</v>
      </c>
      <c r="L153" s="67"/>
      <c r="M153" s="67"/>
      <c r="N153" s="21" t="s">
        <v>506</v>
      </c>
      <c r="O153" s="20" t="s">
        <v>54</v>
      </c>
      <c r="P153" s="20" t="s">
        <v>76</v>
      </c>
      <c r="Q153" s="20" t="s">
        <v>251</v>
      </c>
      <c r="R153" s="68"/>
      <c r="S153" s="28">
        <v>46264.0</v>
      </c>
      <c r="T153" s="68"/>
      <c r="U153" s="69"/>
      <c r="V153" s="20" t="s">
        <v>54</v>
      </c>
      <c r="W153" s="70"/>
      <c r="X153" s="21" t="s">
        <v>56</v>
      </c>
      <c r="Y153" s="20" t="s">
        <v>54</v>
      </c>
      <c r="Z153" s="68"/>
      <c r="AA153" s="29"/>
      <c r="AB153" s="29"/>
      <c r="AC153" s="30"/>
      <c r="AD153" s="68"/>
      <c r="AE153" s="71"/>
      <c r="AF153" s="71"/>
      <c r="AG153" s="71"/>
      <c r="AH153" s="69"/>
      <c r="AI153" s="69"/>
    </row>
    <row r="154" ht="19.5" customHeight="1">
      <c r="A154" s="20">
        <v>153.0</v>
      </c>
      <c r="B154" s="20">
        <f t="shared" si="1"/>
        <v>153</v>
      </c>
      <c r="C154" s="21" t="s">
        <v>245</v>
      </c>
      <c r="D154" s="20" t="s">
        <v>444</v>
      </c>
      <c r="E154" s="21" t="s">
        <v>45</v>
      </c>
      <c r="F154" s="21" t="s">
        <v>47</v>
      </c>
      <c r="G154" s="21" t="s">
        <v>507</v>
      </c>
      <c r="H154" s="22" t="s">
        <v>508</v>
      </c>
      <c r="I154" s="20" t="s">
        <v>457</v>
      </c>
      <c r="J154" s="66">
        <v>46337.0</v>
      </c>
      <c r="K154" s="66">
        <v>46338.0</v>
      </c>
      <c r="L154" s="67"/>
      <c r="M154" s="67"/>
      <c r="N154" s="21" t="s">
        <v>509</v>
      </c>
      <c r="O154" s="20" t="s">
        <v>54</v>
      </c>
      <c r="P154" s="20" t="s">
        <v>55</v>
      </c>
      <c r="Q154" s="20" t="s">
        <v>251</v>
      </c>
      <c r="R154" s="68"/>
      <c r="S154" s="28">
        <v>46264.0</v>
      </c>
      <c r="T154" s="68"/>
      <c r="U154" s="69"/>
      <c r="V154" s="20" t="s">
        <v>54</v>
      </c>
      <c r="W154" s="70"/>
      <c r="X154" s="21" t="s">
        <v>56</v>
      </c>
      <c r="Y154" s="20" t="s">
        <v>82</v>
      </c>
      <c r="Z154" s="68"/>
      <c r="AA154" s="28">
        <v>46268.0</v>
      </c>
      <c r="AB154" s="29"/>
      <c r="AC154" s="30"/>
      <c r="AD154" s="68"/>
      <c r="AE154" s="71"/>
      <c r="AF154" s="71"/>
      <c r="AG154" s="71"/>
      <c r="AH154" s="69"/>
      <c r="AI154" s="69"/>
    </row>
    <row r="155" ht="19.5" customHeight="1">
      <c r="A155" s="20">
        <v>154.0</v>
      </c>
      <c r="B155" s="20">
        <f t="shared" si="1"/>
        <v>154</v>
      </c>
      <c r="C155" s="21" t="s">
        <v>245</v>
      </c>
      <c r="D155" s="20" t="s">
        <v>444</v>
      </c>
      <c r="E155" s="21" t="s">
        <v>45</v>
      </c>
      <c r="F155" s="21" t="s">
        <v>47</v>
      </c>
      <c r="G155" s="21" t="s">
        <v>510</v>
      </c>
      <c r="H155" s="22" t="s">
        <v>511</v>
      </c>
      <c r="I155" s="20" t="s">
        <v>457</v>
      </c>
      <c r="J155" s="66">
        <v>46339.0</v>
      </c>
      <c r="K155" s="66">
        <v>46340.0</v>
      </c>
      <c r="L155" s="67"/>
      <c r="M155" s="67"/>
      <c r="N155" s="21" t="s">
        <v>512</v>
      </c>
      <c r="O155" s="20" t="s">
        <v>54</v>
      </c>
      <c r="P155" s="20" t="s">
        <v>55</v>
      </c>
      <c r="Q155" s="20" t="s">
        <v>251</v>
      </c>
      <c r="R155" s="68"/>
      <c r="S155" s="28">
        <v>46264.0</v>
      </c>
      <c r="T155" s="68"/>
      <c r="U155" s="69"/>
      <c r="V155" s="20" t="s">
        <v>54</v>
      </c>
      <c r="W155" s="70"/>
      <c r="X155" s="21" t="s">
        <v>56</v>
      </c>
      <c r="Y155" s="20" t="s">
        <v>82</v>
      </c>
      <c r="Z155" s="68"/>
      <c r="AA155" s="28">
        <v>46268.0</v>
      </c>
      <c r="AB155" s="29"/>
      <c r="AC155" s="30"/>
      <c r="AD155" s="68"/>
      <c r="AE155" s="71"/>
      <c r="AF155" s="71"/>
      <c r="AG155" s="71"/>
      <c r="AH155" s="69"/>
      <c r="AI155" s="69"/>
    </row>
    <row r="156" ht="19.5" customHeight="1">
      <c r="A156" s="20">
        <v>155.0</v>
      </c>
      <c r="B156" s="20">
        <f t="shared" si="1"/>
        <v>155</v>
      </c>
      <c r="C156" s="21" t="s">
        <v>245</v>
      </c>
      <c r="D156" s="20" t="s">
        <v>444</v>
      </c>
      <c r="E156" s="21" t="s">
        <v>45</v>
      </c>
      <c r="F156" s="21" t="s">
        <v>47</v>
      </c>
      <c r="G156" s="21" t="s">
        <v>513</v>
      </c>
      <c r="H156" s="22" t="s">
        <v>514</v>
      </c>
      <c r="I156" s="20" t="s">
        <v>457</v>
      </c>
      <c r="J156" s="66">
        <v>46341.0</v>
      </c>
      <c r="K156" s="66">
        <v>46344.0</v>
      </c>
      <c r="L156" s="67"/>
      <c r="M156" s="67"/>
      <c r="N156" s="21" t="s">
        <v>515</v>
      </c>
      <c r="O156" s="20" t="s">
        <v>54</v>
      </c>
      <c r="P156" s="20" t="s">
        <v>55</v>
      </c>
      <c r="Q156" s="20" t="s">
        <v>251</v>
      </c>
      <c r="R156" s="68"/>
      <c r="S156" s="28">
        <v>46264.0</v>
      </c>
      <c r="T156" s="68"/>
      <c r="U156" s="69"/>
      <c r="V156" s="20" t="s">
        <v>54</v>
      </c>
      <c r="W156" s="70"/>
      <c r="X156" s="21" t="s">
        <v>56</v>
      </c>
      <c r="Y156" s="20" t="s">
        <v>82</v>
      </c>
      <c r="Z156" s="68"/>
      <c r="AA156" s="28">
        <v>46268.0</v>
      </c>
      <c r="AB156" s="29"/>
      <c r="AC156" s="30"/>
      <c r="AD156" s="68"/>
      <c r="AE156" s="71"/>
      <c r="AF156" s="71"/>
      <c r="AG156" s="71"/>
      <c r="AH156" s="69"/>
      <c r="AI156" s="69"/>
    </row>
    <row r="157" ht="19.5" customHeight="1">
      <c r="A157" s="20">
        <v>156.0</v>
      </c>
      <c r="B157" s="20">
        <f t="shared" si="1"/>
        <v>156</v>
      </c>
      <c r="C157" s="21" t="s">
        <v>245</v>
      </c>
      <c r="D157" s="20" t="s">
        <v>444</v>
      </c>
      <c r="E157" s="21" t="s">
        <v>45</v>
      </c>
      <c r="F157" s="21" t="s">
        <v>47</v>
      </c>
      <c r="G157" s="21" t="s">
        <v>517</v>
      </c>
      <c r="H157" s="22" t="s">
        <v>518</v>
      </c>
      <c r="I157" s="20" t="s">
        <v>457</v>
      </c>
      <c r="J157" s="66">
        <v>46345.0</v>
      </c>
      <c r="K157" s="66">
        <v>46346.0</v>
      </c>
      <c r="L157" s="67"/>
      <c r="M157" s="67"/>
      <c r="N157" s="21" t="s">
        <v>519</v>
      </c>
      <c r="O157" s="20" t="s">
        <v>54</v>
      </c>
      <c r="P157" s="20" t="s">
        <v>55</v>
      </c>
      <c r="Q157" s="20" t="s">
        <v>251</v>
      </c>
      <c r="R157" s="68"/>
      <c r="S157" s="28">
        <v>46264.0</v>
      </c>
      <c r="T157" s="68"/>
      <c r="U157" s="69"/>
      <c r="V157" s="20" t="s">
        <v>54</v>
      </c>
      <c r="W157" s="70"/>
      <c r="X157" s="21" t="s">
        <v>56</v>
      </c>
      <c r="Y157" s="20" t="s">
        <v>82</v>
      </c>
      <c r="Z157" s="68"/>
      <c r="AA157" s="28">
        <v>46268.0</v>
      </c>
      <c r="AB157" s="29"/>
      <c r="AC157" s="30"/>
      <c r="AD157" s="68"/>
      <c r="AE157" s="71"/>
      <c r="AF157" s="71"/>
      <c r="AG157" s="71"/>
      <c r="AH157" s="69"/>
      <c r="AI157" s="69"/>
    </row>
    <row r="158" ht="19.5" customHeight="1">
      <c r="A158" s="20">
        <v>157.0</v>
      </c>
      <c r="B158" s="20">
        <f t="shared" si="1"/>
        <v>157</v>
      </c>
      <c r="C158" s="21" t="s">
        <v>245</v>
      </c>
      <c r="D158" s="20" t="s">
        <v>444</v>
      </c>
      <c r="E158" s="21" t="s">
        <v>45</v>
      </c>
      <c r="F158" s="21" t="s">
        <v>47</v>
      </c>
      <c r="G158" s="21" t="s">
        <v>521</v>
      </c>
      <c r="H158" s="22" t="s">
        <v>522</v>
      </c>
      <c r="I158" s="20" t="s">
        <v>457</v>
      </c>
      <c r="J158" s="66">
        <v>46347.0</v>
      </c>
      <c r="K158" s="66">
        <v>46348.0</v>
      </c>
      <c r="L158" s="67"/>
      <c r="M158" s="67"/>
      <c r="N158" s="21" t="s">
        <v>524</v>
      </c>
      <c r="O158" s="20" t="s">
        <v>54</v>
      </c>
      <c r="P158" s="20" t="s">
        <v>55</v>
      </c>
      <c r="Q158" s="20" t="s">
        <v>251</v>
      </c>
      <c r="R158" s="68"/>
      <c r="S158" s="28">
        <v>46264.0</v>
      </c>
      <c r="T158" s="68"/>
      <c r="U158" s="69"/>
      <c r="V158" s="20" t="s">
        <v>54</v>
      </c>
      <c r="W158" s="70"/>
      <c r="X158" s="21" t="s">
        <v>56</v>
      </c>
      <c r="Y158" s="20" t="s">
        <v>82</v>
      </c>
      <c r="Z158" s="68"/>
      <c r="AA158" s="28">
        <v>46268.0</v>
      </c>
      <c r="AB158" s="29"/>
      <c r="AC158" s="30"/>
      <c r="AD158" s="68"/>
      <c r="AE158" s="71"/>
      <c r="AF158" s="71"/>
      <c r="AG158" s="71"/>
      <c r="AH158" s="69"/>
      <c r="AI158" s="69"/>
    </row>
    <row r="159" ht="19.5" customHeight="1">
      <c r="A159" s="20">
        <v>158.0</v>
      </c>
      <c r="B159" s="20">
        <f t="shared" si="1"/>
        <v>158</v>
      </c>
      <c r="C159" s="21" t="s">
        <v>245</v>
      </c>
      <c r="D159" s="20" t="s">
        <v>444</v>
      </c>
      <c r="E159" s="21" t="s">
        <v>45</v>
      </c>
      <c r="F159" s="21" t="s">
        <v>47</v>
      </c>
      <c r="G159" s="21" t="s">
        <v>533</v>
      </c>
      <c r="H159" s="22" t="s">
        <v>534</v>
      </c>
      <c r="I159" s="20" t="s">
        <v>457</v>
      </c>
      <c r="J159" s="66">
        <v>46351.0</v>
      </c>
      <c r="K159" s="66">
        <v>46352.0</v>
      </c>
      <c r="L159" s="67"/>
      <c r="M159" s="67"/>
      <c r="N159" s="21" t="s">
        <v>535</v>
      </c>
      <c r="O159" s="20" t="s">
        <v>54</v>
      </c>
      <c r="P159" s="20" t="s">
        <v>55</v>
      </c>
      <c r="Q159" s="20" t="s">
        <v>251</v>
      </c>
      <c r="R159" s="68"/>
      <c r="S159" s="28">
        <v>46264.0</v>
      </c>
      <c r="T159" s="68"/>
      <c r="U159" s="69"/>
      <c r="V159" s="20" t="s">
        <v>54</v>
      </c>
      <c r="W159" s="70"/>
      <c r="X159" s="21" t="s">
        <v>56</v>
      </c>
      <c r="Y159" s="20" t="s">
        <v>82</v>
      </c>
      <c r="Z159" s="68"/>
      <c r="AA159" s="28">
        <v>46268.0</v>
      </c>
      <c r="AB159" s="29"/>
      <c r="AC159" s="30"/>
      <c r="AD159" s="68"/>
      <c r="AE159" s="71"/>
      <c r="AF159" s="71"/>
      <c r="AG159" s="71"/>
      <c r="AH159" s="69"/>
      <c r="AI159" s="69"/>
    </row>
    <row r="160" ht="19.5" customHeight="1">
      <c r="A160" s="20">
        <v>159.0</v>
      </c>
      <c r="B160" s="20">
        <f t="shared" si="1"/>
        <v>159</v>
      </c>
      <c r="C160" s="21" t="s">
        <v>245</v>
      </c>
      <c r="D160" s="20" t="s">
        <v>444</v>
      </c>
      <c r="E160" s="21" t="s">
        <v>45</v>
      </c>
      <c r="F160" s="21" t="s">
        <v>47</v>
      </c>
      <c r="G160" s="21" t="s">
        <v>536</v>
      </c>
      <c r="H160" s="22" t="s">
        <v>537</v>
      </c>
      <c r="I160" s="20" t="s">
        <v>457</v>
      </c>
      <c r="J160" s="66">
        <v>46353.0</v>
      </c>
      <c r="K160" s="66">
        <v>46354.0</v>
      </c>
      <c r="L160" s="67"/>
      <c r="M160" s="67"/>
      <c r="N160" s="21" t="s">
        <v>538</v>
      </c>
      <c r="O160" s="20" t="s">
        <v>54</v>
      </c>
      <c r="P160" s="20" t="s">
        <v>76</v>
      </c>
      <c r="Q160" s="20" t="s">
        <v>251</v>
      </c>
      <c r="R160" s="68"/>
      <c r="S160" s="28">
        <v>46264.0</v>
      </c>
      <c r="T160" s="68"/>
      <c r="U160" s="69"/>
      <c r="V160" s="20" t="s">
        <v>54</v>
      </c>
      <c r="W160" s="70"/>
      <c r="X160" s="21" t="s">
        <v>56</v>
      </c>
      <c r="Y160" s="20" t="s">
        <v>82</v>
      </c>
      <c r="Z160" s="68"/>
      <c r="AA160" s="29"/>
      <c r="AB160" s="29"/>
      <c r="AC160" s="30"/>
      <c r="AD160" s="68"/>
      <c r="AE160" s="71"/>
      <c r="AF160" s="71"/>
      <c r="AG160" s="71"/>
      <c r="AH160" s="69"/>
      <c r="AI160" s="69"/>
    </row>
    <row r="161" ht="19.5" customHeight="1">
      <c r="A161" s="20">
        <v>160.0</v>
      </c>
      <c r="B161" s="20">
        <f t="shared" si="1"/>
        <v>160</v>
      </c>
      <c r="C161" s="21" t="s">
        <v>245</v>
      </c>
      <c r="D161" s="20" t="s">
        <v>444</v>
      </c>
      <c r="E161" s="21" t="s">
        <v>45</v>
      </c>
      <c r="F161" s="21" t="s">
        <v>47</v>
      </c>
      <c r="G161" s="21" t="s">
        <v>539</v>
      </c>
      <c r="H161" s="22" t="s">
        <v>540</v>
      </c>
      <c r="I161" s="20" t="s">
        <v>457</v>
      </c>
      <c r="J161" s="66">
        <v>46355.0</v>
      </c>
      <c r="K161" s="66">
        <v>46358.0</v>
      </c>
      <c r="L161" s="67"/>
      <c r="M161" s="67"/>
      <c r="N161" s="21" t="s">
        <v>541</v>
      </c>
      <c r="O161" s="20" t="s">
        <v>54</v>
      </c>
      <c r="P161" s="20" t="s">
        <v>76</v>
      </c>
      <c r="Q161" s="20" t="s">
        <v>251</v>
      </c>
      <c r="R161" s="68"/>
      <c r="S161" s="28">
        <v>46264.0</v>
      </c>
      <c r="T161" s="68"/>
      <c r="U161" s="69"/>
      <c r="V161" s="20" t="s">
        <v>54</v>
      </c>
      <c r="W161" s="70"/>
      <c r="X161" s="21" t="s">
        <v>56</v>
      </c>
      <c r="Y161" s="20" t="s">
        <v>82</v>
      </c>
      <c r="Z161" s="68"/>
      <c r="AA161" s="29"/>
      <c r="AB161" s="29"/>
      <c r="AC161" s="30"/>
      <c r="AD161" s="68"/>
      <c r="AE161" s="71"/>
      <c r="AF161" s="71"/>
      <c r="AG161" s="71"/>
      <c r="AH161" s="69"/>
      <c r="AI161" s="69"/>
    </row>
    <row r="162" ht="19.5" customHeight="1">
      <c r="A162" s="20">
        <v>161.0</v>
      </c>
      <c r="B162" s="20">
        <f t="shared" si="1"/>
        <v>161</v>
      </c>
      <c r="C162" s="21" t="s">
        <v>245</v>
      </c>
      <c r="D162" s="20" t="s">
        <v>444</v>
      </c>
      <c r="E162" s="21" t="s">
        <v>45</v>
      </c>
      <c r="F162" s="21" t="s">
        <v>47</v>
      </c>
      <c r="G162" s="21" t="s">
        <v>542</v>
      </c>
      <c r="H162" s="22" t="s">
        <v>543</v>
      </c>
      <c r="I162" s="20" t="s">
        <v>457</v>
      </c>
      <c r="J162" s="66">
        <v>46359.0</v>
      </c>
      <c r="K162" s="66">
        <v>46360.0</v>
      </c>
      <c r="L162" s="67"/>
      <c r="M162" s="67"/>
      <c r="N162" s="21" t="s">
        <v>544</v>
      </c>
      <c r="O162" s="20" t="s">
        <v>54</v>
      </c>
      <c r="P162" s="20" t="s">
        <v>76</v>
      </c>
      <c r="Q162" s="20" t="s">
        <v>251</v>
      </c>
      <c r="R162" s="68"/>
      <c r="S162" s="28">
        <v>46264.0</v>
      </c>
      <c r="T162" s="68"/>
      <c r="U162" s="69"/>
      <c r="V162" s="20" t="s">
        <v>54</v>
      </c>
      <c r="W162" s="70"/>
      <c r="X162" s="21" t="s">
        <v>56</v>
      </c>
      <c r="Y162" s="20" t="s">
        <v>82</v>
      </c>
      <c r="Z162" s="68"/>
      <c r="AA162" s="29"/>
      <c r="AB162" s="29"/>
      <c r="AC162" s="30"/>
      <c r="AD162" s="68"/>
      <c r="AE162" s="71"/>
      <c r="AF162" s="71"/>
      <c r="AG162" s="71"/>
      <c r="AH162" s="69"/>
      <c r="AI162" s="69"/>
    </row>
    <row r="163" ht="19.5" customHeight="1">
      <c r="A163" s="20">
        <v>162.0</v>
      </c>
      <c r="B163" s="20">
        <f t="shared" si="1"/>
        <v>162</v>
      </c>
      <c r="C163" s="21" t="s">
        <v>245</v>
      </c>
      <c r="D163" s="20" t="s">
        <v>444</v>
      </c>
      <c r="E163" s="21" t="s">
        <v>45</v>
      </c>
      <c r="F163" s="21" t="s">
        <v>47</v>
      </c>
      <c r="G163" s="21" t="s">
        <v>545</v>
      </c>
      <c r="H163" s="22" t="s">
        <v>546</v>
      </c>
      <c r="I163" s="20" t="s">
        <v>457</v>
      </c>
      <c r="J163" s="66">
        <v>46361.0</v>
      </c>
      <c r="K163" s="66">
        <v>46362.0</v>
      </c>
      <c r="L163" s="67"/>
      <c r="M163" s="67"/>
      <c r="N163" s="21" t="s">
        <v>547</v>
      </c>
      <c r="O163" s="20" t="s">
        <v>54</v>
      </c>
      <c r="P163" s="20" t="s">
        <v>76</v>
      </c>
      <c r="Q163" s="20" t="s">
        <v>251</v>
      </c>
      <c r="R163" s="68"/>
      <c r="S163" s="28">
        <v>46264.0</v>
      </c>
      <c r="T163" s="68"/>
      <c r="U163" s="69"/>
      <c r="V163" s="20" t="s">
        <v>54</v>
      </c>
      <c r="W163" s="70"/>
      <c r="X163" s="21" t="s">
        <v>56</v>
      </c>
      <c r="Y163" s="20" t="s">
        <v>82</v>
      </c>
      <c r="Z163" s="68"/>
      <c r="AA163" s="29"/>
      <c r="AB163" s="29"/>
      <c r="AC163" s="30"/>
      <c r="AD163" s="68"/>
      <c r="AE163" s="71"/>
      <c r="AF163" s="71"/>
      <c r="AG163" s="71"/>
      <c r="AH163" s="69"/>
      <c r="AI163" s="69"/>
    </row>
    <row r="164" ht="19.5" customHeight="1">
      <c r="A164" s="20">
        <v>163.0</v>
      </c>
      <c r="B164" s="20">
        <f t="shared" si="1"/>
        <v>163</v>
      </c>
      <c r="C164" s="21" t="s">
        <v>245</v>
      </c>
      <c r="D164" s="20" t="s">
        <v>444</v>
      </c>
      <c r="E164" s="21" t="s">
        <v>45</v>
      </c>
      <c r="F164" s="21" t="s">
        <v>47</v>
      </c>
      <c r="G164" s="21" t="s">
        <v>548</v>
      </c>
      <c r="H164" s="22" t="s">
        <v>549</v>
      </c>
      <c r="I164" s="20" t="s">
        <v>457</v>
      </c>
      <c r="J164" s="66">
        <v>46365.0</v>
      </c>
      <c r="K164" s="66">
        <v>46366.0</v>
      </c>
      <c r="L164" s="67"/>
      <c r="M164" s="67"/>
      <c r="N164" s="21" t="s">
        <v>550</v>
      </c>
      <c r="O164" s="20" t="s">
        <v>54</v>
      </c>
      <c r="P164" s="20" t="s">
        <v>76</v>
      </c>
      <c r="Q164" s="20" t="s">
        <v>251</v>
      </c>
      <c r="R164" s="68"/>
      <c r="S164" s="28">
        <v>46264.0</v>
      </c>
      <c r="T164" s="68"/>
      <c r="U164" s="69"/>
      <c r="V164" s="20" t="s">
        <v>54</v>
      </c>
      <c r="W164" s="70"/>
      <c r="X164" s="21" t="s">
        <v>56</v>
      </c>
      <c r="Y164" s="20" t="s">
        <v>82</v>
      </c>
      <c r="Z164" s="68"/>
      <c r="AA164" s="29"/>
      <c r="AB164" s="29"/>
      <c r="AC164" s="30"/>
      <c r="AD164" s="68"/>
      <c r="AE164" s="71"/>
      <c r="AF164" s="71"/>
      <c r="AG164" s="71"/>
      <c r="AH164" s="69"/>
      <c r="AI164" s="69"/>
    </row>
    <row r="165" ht="19.5" customHeight="1">
      <c r="A165" s="20">
        <v>164.0</v>
      </c>
      <c r="B165" s="20">
        <f t="shared" si="1"/>
        <v>164</v>
      </c>
      <c r="C165" s="21" t="s">
        <v>245</v>
      </c>
      <c r="D165" s="20" t="s">
        <v>444</v>
      </c>
      <c r="E165" s="21" t="s">
        <v>45</v>
      </c>
      <c r="F165" s="21" t="s">
        <v>47</v>
      </c>
      <c r="G165" s="21" t="s">
        <v>551</v>
      </c>
      <c r="H165" s="22" t="s">
        <v>552</v>
      </c>
      <c r="I165" s="20" t="s">
        <v>457</v>
      </c>
      <c r="J165" s="66">
        <v>46367.0</v>
      </c>
      <c r="K165" s="66">
        <v>46368.0</v>
      </c>
      <c r="L165" s="67"/>
      <c r="M165" s="67"/>
      <c r="N165" s="21" t="s">
        <v>553</v>
      </c>
      <c r="O165" s="20" t="s">
        <v>54</v>
      </c>
      <c r="P165" s="20" t="s">
        <v>76</v>
      </c>
      <c r="Q165" s="20" t="s">
        <v>251</v>
      </c>
      <c r="R165" s="68"/>
      <c r="S165" s="28">
        <v>46264.0</v>
      </c>
      <c r="T165" s="68"/>
      <c r="U165" s="69"/>
      <c r="V165" s="20" t="s">
        <v>54</v>
      </c>
      <c r="W165" s="70"/>
      <c r="X165" s="21" t="s">
        <v>56</v>
      </c>
      <c r="Y165" s="20" t="s">
        <v>82</v>
      </c>
      <c r="Z165" s="68"/>
      <c r="AA165" s="29"/>
      <c r="AB165" s="29"/>
      <c r="AC165" s="30"/>
      <c r="AD165" s="68"/>
      <c r="AE165" s="71"/>
      <c r="AF165" s="71"/>
      <c r="AG165" s="71"/>
      <c r="AH165" s="69"/>
      <c r="AI165" s="69"/>
    </row>
    <row r="166" ht="19.5" customHeight="1">
      <c r="A166" s="20">
        <v>165.0</v>
      </c>
      <c r="B166" s="20">
        <f t="shared" si="1"/>
        <v>165</v>
      </c>
      <c r="C166" s="21" t="s">
        <v>245</v>
      </c>
      <c r="D166" s="20" t="s">
        <v>444</v>
      </c>
      <c r="E166" s="21" t="s">
        <v>45</v>
      </c>
      <c r="F166" s="21" t="s">
        <v>47</v>
      </c>
      <c r="G166" s="21" t="s">
        <v>554</v>
      </c>
      <c r="H166" s="22" t="s">
        <v>555</v>
      </c>
      <c r="I166" s="20" t="s">
        <v>447</v>
      </c>
      <c r="J166" s="66">
        <v>46331.0</v>
      </c>
      <c r="K166" s="66">
        <v>46332.0</v>
      </c>
      <c r="L166" s="67"/>
      <c r="M166" s="67"/>
      <c r="N166" s="21" t="s">
        <v>556</v>
      </c>
      <c r="O166" s="20" t="s">
        <v>54</v>
      </c>
      <c r="P166" s="20" t="s">
        <v>76</v>
      </c>
      <c r="Q166" s="20" t="s">
        <v>251</v>
      </c>
      <c r="R166" s="68"/>
      <c r="S166" s="28">
        <v>46264.0</v>
      </c>
      <c r="T166" s="68"/>
      <c r="U166" s="69"/>
      <c r="V166" s="20" t="s">
        <v>54</v>
      </c>
      <c r="W166" s="70"/>
      <c r="X166" s="21" t="s">
        <v>56</v>
      </c>
      <c r="Y166" s="20" t="s">
        <v>54</v>
      </c>
      <c r="Z166" s="68"/>
      <c r="AA166" s="29"/>
      <c r="AB166" s="29"/>
      <c r="AC166" s="30"/>
      <c r="AD166" s="68"/>
      <c r="AE166" s="71"/>
      <c r="AF166" s="71"/>
      <c r="AG166" s="71"/>
      <c r="AH166" s="69"/>
      <c r="AI166" s="69"/>
    </row>
    <row r="167" ht="19.5" customHeight="1">
      <c r="A167" s="20">
        <v>166.0</v>
      </c>
      <c r="B167" s="20">
        <f t="shared" si="1"/>
        <v>166</v>
      </c>
      <c r="C167" s="21" t="s">
        <v>245</v>
      </c>
      <c r="D167" s="20" t="s">
        <v>444</v>
      </c>
      <c r="E167" s="21" t="s">
        <v>45</v>
      </c>
      <c r="F167" s="21" t="s">
        <v>47</v>
      </c>
      <c r="G167" s="21" t="s">
        <v>557</v>
      </c>
      <c r="H167" s="22" t="s">
        <v>558</v>
      </c>
      <c r="I167" s="20" t="s">
        <v>447</v>
      </c>
      <c r="J167" s="66">
        <v>46333.0</v>
      </c>
      <c r="K167" s="66">
        <v>46334.0</v>
      </c>
      <c r="L167" s="67"/>
      <c r="M167" s="67"/>
      <c r="N167" s="21" t="s">
        <v>559</v>
      </c>
      <c r="O167" s="20" t="s">
        <v>54</v>
      </c>
      <c r="P167" s="20" t="s">
        <v>76</v>
      </c>
      <c r="Q167" s="20" t="s">
        <v>251</v>
      </c>
      <c r="R167" s="68"/>
      <c r="S167" s="28">
        <v>46264.0</v>
      </c>
      <c r="T167" s="68"/>
      <c r="U167" s="69"/>
      <c r="V167" s="20" t="s">
        <v>54</v>
      </c>
      <c r="W167" s="70"/>
      <c r="X167" s="21" t="s">
        <v>56</v>
      </c>
      <c r="Y167" s="20" t="s">
        <v>54</v>
      </c>
      <c r="Z167" s="68"/>
      <c r="AA167" s="29"/>
      <c r="AB167" s="29"/>
      <c r="AC167" s="30"/>
      <c r="AD167" s="68"/>
      <c r="AE167" s="71"/>
      <c r="AF167" s="71"/>
      <c r="AG167" s="71"/>
      <c r="AH167" s="69"/>
      <c r="AI167" s="69"/>
    </row>
    <row r="168" ht="19.5" customHeight="1">
      <c r="A168" s="20">
        <v>167.0</v>
      </c>
      <c r="B168" s="20">
        <f t="shared" si="1"/>
        <v>167</v>
      </c>
      <c r="C168" s="21" t="s">
        <v>245</v>
      </c>
      <c r="D168" s="20" t="s">
        <v>444</v>
      </c>
      <c r="E168" s="21" t="s">
        <v>45</v>
      </c>
      <c r="F168" s="21" t="s">
        <v>47</v>
      </c>
      <c r="G168" s="21" t="s">
        <v>560</v>
      </c>
      <c r="H168" s="22" t="s">
        <v>561</v>
      </c>
      <c r="I168" s="20" t="s">
        <v>249</v>
      </c>
      <c r="J168" s="66">
        <v>46380.0</v>
      </c>
      <c r="K168" s="66">
        <v>46382.0</v>
      </c>
      <c r="L168" s="67"/>
      <c r="M168" s="67"/>
      <c r="N168" s="21" t="s">
        <v>562</v>
      </c>
      <c r="O168" s="20" t="s">
        <v>54</v>
      </c>
      <c r="P168" s="20" t="s">
        <v>76</v>
      </c>
      <c r="Q168" s="20" t="s">
        <v>251</v>
      </c>
      <c r="R168" s="68"/>
      <c r="S168" s="28">
        <v>46264.0</v>
      </c>
      <c r="T168" s="68"/>
      <c r="U168" s="69"/>
      <c r="V168" s="20" t="s">
        <v>54</v>
      </c>
      <c r="W168" s="70"/>
      <c r="X168" s="21" t="s">
        <v>56</v>
      </c>
      <c r="Y168" s="20" t="s">
        <v>54</v>
      </c>
      <c r="Z168" s="68"/>
      <c r="AA168" s="29"/>
      <c r="AB168" s="29"/>
      <c r="AC168" s="30"/>
      <c r="AD168" s="68"/>
      <c r="AE168" s="71"/>
      <c r="AF168" s="71"/>
      <c r="AG168" s="71"/>
      <c r="AH168" s="69"/>
      <c r="AI168" s="69"/>
    </row>
    <row r="169" ht="19.5" customHeight="1">
      <c r="A169" s="20">
        <v>168.0</v>
      </c>
      <c r="B169" s="20">
        <f t="shared" si="1"/>
        <v>168</v>
      </c>
      <c r="C169" s="21" t="s">
        <v>245</v>
      </c>
      <c r="D169" s="20" t="s">
        <v>444</v>
      </c>
      <c r="E169" s="21" t="s">
        <v>45</v>
      </c>
      <c r="F169" s="21" t="s">
        <v>47</v>
      </c>
      <c r="G169" s="21" t="s">
        <v>563</v>
      </c>
      <c r="H169" s="22" t="s">
        <v>564</v>
      </c>
      <c r="I169" s="20" t="s">
        <v>249</v>
      </c>
      <c r="J169" s="66">
        <v>46380.0</v>
      </c>
      <c r="K169" s="66">
        <v>46382.0</v>
      </c>
      <c r="L169" s="67"/>
      <c r="M169" s="67"/>
      <c r="N169" s="21" t="s">
        <v>565</v>
      </c>
      <c r="O169" s="20" t="s">
        <v>54</v>
      </c>
      <c r="P169" s="20" t="s">
        <v>76</v>
      </c>
      <c r="Q169" s="20" t="s">
        <v>251</v>
      </c>
      <c r="R169" s="68"/>
      <c r="S169" s="28">
        <v>46264.0</v>
      </c>
      <c r="T169" s="68"/>
      <c r="U169" s="69"/>
      <c r="V169" s="20" t="s">
        <v>54</v>
      </c>
      <c r="W169" s="70"/>
      <c r="X169" s="21" t="s">
        <v>56</v>
      </c>
      <c r="Y169" s="20" t="s">
        <v>54</v>
      </c>
      <c r="Z169" s="68"/>
      <c r="AA169" s="29"/>
      <c r="AB169" s="29"/>
      <c r="AC169" s="30"/>
      <c r="AD169" s="68"/>
      <c r="AE169" s="71"/>
      <c r="AF169" s="71"/>
      <c r="AG169" s="71"/>
      <c r="AH169" s="69"/>
      <c r="AI169" s="69"/>
    </row>
    <row r="170" ht="19.5" customHeight="1">
      <c r="A170" s="20">
        <v>169.0</v>
      </c>
      <c r="B170" s="20">
        <f t="shared" si="1"/>
        <v>169</v>
      </c>
      <c r="C170" s="21" t="s">
        <v>245</v>
      </c>
      <c r="D170" s="20" t="s">
        <v>444</v>
      </c>
      <c r="E170" s="21" t="s">
        <v>45</v>
      </c>
      <c r="F170" s="21" t="s">
        <v>47</v>
      </c>
      <c r="G170" s="21" t="s">
        <v>566</v>
      </c>
      <c r="H170" s="22" t="s">
        <v>567</v>
      </c>
      <c r="I170" s="20" t="s">
        <v>249</v>
      </c>
      <c r="J170" s="66">
        <v>46380.0</v>
      </c>
      <c r="K170" s="66">
        <v>46382.0</v>
      </c>
      <c r="L170" s="67"/>
      <c r="M170" s="67"/>
      <c r="N170" s="21" t="s">
        <v>568</v>
      </c>
      <c r="O170" s="20" t="s">
        <v>54</v>
      </c>
      <c r="P170" s="20" t="s">
        <v>76</v>
      </c>
      <c r="Q170" s="20" t="s">
        <v>251</v>
      </c>
      <c r="R170" s="68"/>
      <c r="S170" s="28">
        <v>46264.0</v>
      </c>
      <c r="T170" s="68"/>
      <c r="U170" s="69"/>
      <c r="V170" s="20" t="s">
        <v>54</v>
      </c>
      <c r="W170" s="70"/>
      <c r="X170" s="21" t="s">
        <v>56</v>
      </c>
      <c r="Y170" s="20" t="s">
        <v>54</v>
      </c>
      <c r="Z170" s="68"/>
      <c r="AA170" s="29"/>
      <c r="AB170" s="29"/>
      <c r="AC170" s="30"/>
      <c r="AD170" s="68"/>
      <c r="AE170" s="71"/>
      <c r="AF170" s="71"/>
      <c r="AG170" s="71"/>
      <c r="AH170" s="69"/>
      <c r="AI170" s="69"/>
    </row>
    <row r="171" ht="19.5" customHeight="1">
      <c r="A171" s="20">
        <v>170.0</v>
      </c>
      <c r="B171" s="20">
        <f t="shared" si="1"/>
        <v>170</v>
      </c>
      <c r="C171" s="21" t="s">
        <v>245</v>
      </c>
      <c r="D171" s="20" t="s">
        <v>444</v>
      </c>
      <c r="E171" s="21" t="s">
        <v>45</v>
      </c>
      <c r="F171" s="21" t="s">
        <v>47</v>
      </c>
      <c r="G171" s="21" t="s">
        <v>569</v>
      </c>
      <c r="H171" s="22" t="s">
        <v>570</v>
      </c>
      <c r="I171" s="20" t="s">
        <v>249</v>
      </c>
      <c r="J171" s="66">
        <v>46380.0</v>
      </c>
      <c r="K171" s="66">
        <v>46382.0</v>
      </c>
      <c r="L171" s="67"/>
      <c r="M171" s="67"/>
      <c r="N171" s="21" t="s">
        <v>571</v>
      </c>
      <c r="O171" s="20" t="s">
        <v>54</v>
      </c>
      <c r="P171" s="20" t="s">
        <v>76</v>
      </c>
      <c r="Q171" s="20" t="s">
        <v>251</v>
      </c>
      <c r="R171" s="68"/>
      <c r="S171" s="28">
        <v>46264.0</v>
      </c>
      <c r="T171" s="68"/>
      <c r="U171" s="69"/>
      <c r="V171" s="20" t="s">
        <v>54</v>
      </c>
      <c r="W171" s="70"/>
      <c r="X171" s="21" t="s">
        <v>56</v>
      </c>
      <c r="Y171" s="20" t="s">
        <v>54</v>
      </c>
      <c r="Z171" s="68"/>
      <c r="AA171" s="29"/>
      <c r="AB171" s="29"/>
      <c r="AC171" s="30"/>
      <c r="AD171" s="68"/>
      <c r="AE171" s="71"/>
      <c r="AF171" s="71"/>
      <c r="AG171" s="71"/>
      <c r="AH171" s="69"/>
      <c r="AI171" s="69"/>
    </row>
    <row r="172" ht="19.5" customHeight="1">
      <c r="A172" s="20">
        <v>171.0</v>
      </c>
      <c r="B172" s="20">
        <f t="shared" si="1"/>
        <v>171</v>
      </c>
      <c r="C172" s="21" t="s">
        <v>245</v>
      </c>
      <c r="D172" s="20" t="s">
        <v>444</v>
      </c>
      <c r="E172" s="21" t="s">
        <v>45</v>
      </c>
      <c r="F172" s="21" t="s">
        <v>47</v>
      </c>
      <c r="G172" s="21" t="s">
        <v>572</v>
      </c>
      <c r="H172" s="22" t="s">
        <v>573</v>
      </c>
      <c r="I172" s="20" t="s">
        <v>249</v>
      </c>
      <c r="J172" s="66">
        <v>46380.0</v>
      </c>
      <c r="K172" s="66">
        <v>46382.0</v>
      </c>
      <c r="L172" s="67"/>
      <c r="M172" s="67"/>
      <c r="N172" s="21" t="s">
        <v>575</v>
      </c>
      <c r="O172" s="20" t="s">
        <v>54</v>
      </c>
      <c r="P172" s="20" t="s">
        <v>76</v>
      </c>
      <c r="Q172" s="20" t="s">
        <v>251</v>
      </c>
      <c r="R172" s="68"/>
      <c r="S172" s="28">
        <v>46264.0</v>
      </c>
      <c r="T172" s="68"/>
      <c r="U172" s="69"/>
      <c r="V172" s="20" t="s">
        <v>54</v>
      </c>
      <c r="W172" s="70"/>
      <c r="X172" s="21" t="s">
        <v>56</v>
      </c>
      <c r="Y172" s="20" t="s">
        <v>54</v>
      </c>
      <c r="Z172" s="68"/>
      <c r="AA172" s="29"/>
      <c r="AB172" s="29"/>
      <c r="AC172" s="30"/>
      <c r="AD172" s="68"/>
      <c r="AE172" s="71"/>
      <c r="AF172" s="71"/>
      <c r="AG172" s="71"/>
      <c r="AH172" s="69"/>
      <c r="AI172" s="69"/>
    </row>
    <row r="173" ht="19.5" customHeight="1">
      <c r="A173" s="20">
        <v>172.0</v>
      </c>
      <c r="B173" s="20">
        <f t="shared" si="1"/>
        <v>172</v>
      </c>
      <c r="C173" s="21" t="s">
        <v>245</v>
      </c>
      <c r="D173" s="20" t="s">
        <v>444</v>
      </c>
      <c r="E173" s="21" t="s">
        <v>45</v>
      </c>
      <c r="F173" s="21" t="s">
        <v>47</v>
      </c>
      <c r="G173" s="21" t="s">
        <v>576</v>
      </c>
      <c r="H173" s="22" t="s">
        <v>577</v>
      </c>
      <c r="I173" s="20" t="s">
        <v>249</v>
      </c>
      <c r="J173" s="66">
        <v>46380.0</v>
      </c>
      <c r="K173" s="66">
        <v>46382.0</v>
      </c>
      <c r="L173" s="67"/>
      <c r="M173" s="67"/>
      <c r="N173" s="21" t="s">
        <v>578</v>
      </c>
      <c r="O173" s="20" t="s">
        <v>54</v>
      </c>
      <c r="P173" s="20" t="s">
        <v>76</v>
      </c>
      <c r="Q173" s="20" t="s">
        <v>251</v>
      </c>
      <c r="R173" s="68"/>
      <c r="S173" s="28">
        <v>46264.0</v>
      </c>
      <c r="T173" s="68"/>
      <c r="U173" s="69"/>
      <c r="V173" s="20" t="s">
        <v>54</v>
      </c>
      <c r="W173" s="70"/>
      <c r="X173" s="21" t="s">
        <v>56</v>
      </c>
      <c r="Y173" s="20" t="s">
        <v>54</v>
      </c>
      <c r="Z173" s="68"/>
      <c r="AA173" s="29"/>
      <c r="AB173" s="29"/>
      <c r="AC173" s="30"/>
      <c r="AD173" s="68"/>
      <c r="AE173" s="71"/>
      <c r="AF173" s="71"/>
      <c r="AG173" s="71"/>
      <c r="AH173" s="69"/>
      <c r="AI173" s="69"/>
    </row>
    <row r="174" ht="19.5" customHeight="1">
      <c r="A174" s="20">
        <v>173.0</v>
      </c>
      <c r="B174" s="20">
        <f t="shared" si="1"/>
        <v>173</v>
      </c>
      <c r="C174" s="21" t="s">
        <v>245</v>
      </c>
      <c r="D174" s="20" t="s">
        <v>444</v>
      </c>
      <c r="E174" s="21" t="s">
        <v>45</v>
      </c>
      <c r="F174" s="21" t="s">
        <v>47</v>
      </c>
      <c r="G174" s="21" t="s">
        <v>579</v>
      </c>
      <c r="H174" s="22" t="s">
        <v>580</v>
      </c>
      <c r="I174" s="20" t="s">
        <v>249</v>
      </c>
      <c r="J174" s="66">
        <v>46380.0</v>
      </c>
      <c r="K174" s="66">
        <v>46382.0</v>
      </c>
      <c r="L174" s="67"/>
      <c r="M174" s="67"/>
      <c r="N174" s="21" t="s">
        <v>581</v>
      </c>
      <c r="O174" s="20" t="s">
        <v>54</v>
      </c>
      <c r="P174" s="20" t="s">
        <v>76</v>
      </c>
      <c r="Q174" s="20" t="s">
        <v>251</v>
      </c>
      <c r="R174" s="68"/>
      <c r="S174" s="28">
        <v>46264.0</v>
      </c>
      <c r="T174" s="68"/>
      <c r="U174" s="69"/>
      <c r="V174" s="20" t="s">
        <v>54</v>
      </c>
      <c r="W174" s="70"/>
      <c r="X174" s="21" t="s">
        <v>56</v>
      </c>
      <c r="Y174" s="20" t="s">
        <v>54</v>
      </c>
      <c r="Z174" s="68"/>
      <c r="AA174" s="29"/>
      <c r="AB174" s="29"/>
      <c r="AC174" s="30"/>
      <c r="AD174" s="68"/>
      <c r="AE174" s="71"/>
      <c r="AF174" s="71"/>
      <c r="AG174" s="71"/>
      <c r="AH174" s="69"/>
      <c r="AI174" s="69"/>
    </row>
    <row r="175" ht="19.5" customHeight="1">
      <c r="A175" s="20">
        <v>174.0</v>
      </c>
      <c r="B175" s="20">
        <f t="shared" si="1"/>
        <v>174</v>
      </c>
      <c r="C175" s="21" t="s">
        <v>245</v>
      </c>
      <c r="D175" s="20" t="s">
        <v>444</v>
      </c>
      <c r="E175" s="21" t="s">
        <v>45</v>
      </c>
      <c r="F175" s="21" t="s">
        <v>47</v>
      </c>
      <c r="G175" s="21" t="s">
        <v>582</v>
      </c>
      <c r="H175" s="22" t="s">
        <v>583</v>
      </c>
      <c r="I175" s="20" t="s">
        <v>249</v>
      </c>
      <c r="J175" s="66">
        <v>46382.0</v>
      </c>
      <c r="K175" s="66">
        <v>46386.0</v>
      </c>
      <c r="L175" s="67"/>
      <c r="M175" s="67"/>
      <c r="N175" s="21" t="s">
        <v>584</v>
      </c>
      <c r="O175" s="20" t="s">
        <v>54</v>
      </c>
      <c r="P175" s="20" t="s">
        <v>76</v>
      </c>
      <c r="Q175" s="20" t="s">
        <v>251</v>
      </c>
      <c r="R175" s="68"/>
      <c r="S175" s="28">
        <v>46264.0</v>
      </c>
      <c r="T175" s="68"/>
      <c r="U175" s="69"/>
      <c r="V175" s="20" t="s">
        <v>54</v>
      </c>
      <c r="W175" s="70"/>
      <c r="X175" s="21" t="s">
        <v>56</v>
      </c>
      <c r="Y175" s="20" t="s">
        <v>54</v>
      </c>
      <c r="Z175" s="68"/>
      <c r="AA175" s="29"/>
      <c r="AB175" s="29"/>
      <c r="AC175" s="30"/>
      <c r="AD175" s="68"/>
      <c r="AE175" s="71"/>
      <c r="AF175" s="71"/>
      <c r="AG175" s="71"/>
      <c r="AH175" s="69"/>
      <c r="AI175" s="69"/>
    </row>
    <row r="176" ht="19.5" customHeight="1">
      <c r="A176" s="20">
        <v>175.0</v>
      </c>
      <c r="B176" s="20">
        <f t="shared" si="1"/>
        <v>175</v>
      </c>
      <c r="C176" s="21" t="s">
        <v>245</v>
      </c>
      <c r="D176" s="20" t="s">
        <v>444</v>
      </c>
      <c r="E176" s="21" t="s">
        <v>45</v>
      </c>
      <c r="F176" s="21" t="s">
        <v>47</v>
      </c>
      <c r="G176" s="21" t="s">
        <v>585</v>
      </c>
      <c r="H176" s="22" t="s">
        <v>586</v>
      </c>
      <c r="I176" s="20" t="s">
        <v>249</v>
      </c>
      <c r="J176" s="66">
        <v>46382.0</v>
      </c>
      <c r="K176" s="66">
        <v>46386.0</v>
      </c>
      <c r="L176" s="67"/>
      <c r="M176" s="67"/>
      <c r="N176" s="21" t="s">
        <v>587</v>
      </c>
      <c r="O176" s="20" t="s">
        <v>54</v>
      </c>
      <c r="P176" s="20" t="s">
        <v>76</v>
      </c>
      <c r="Q176" s="20" t="s">
        <v>251</v>
      </c>
      <c r="R176" s="68"/>
      <c r="S176" s="28">
        <v>46264.0</v>
      </c>
      <c r="T176" s="68"/>
      <c r="U176" s="69"/>
      <c r="V176" s="20" t="s">
        <v>54</v>
      </c>
      <c r="W176" s="70"/>
      <c r="X176" s="21" t="s">
        <v>56</v>
      </c>
      <c r="Y176" s="20" t="s">
        <v>54</v>
      </c>
      <c r="Z176" s="68"/>
      <c r="AA176" s="29"/>
      <c r="AB176" s="29"/>
      <c r="AC176" s="30"/>
      <c r="AD176" s="68"/>
      <c r="AE176" s="71"/>
      <c r="AF176" s="71"/>
      <c r="AG176" s="71"/>
      <c r="AH176" s="69"/>
      <c r="AI176" s="69"/>
    </row>
    <row r="177" ht="19.5" customHeight="1">
      <c r="A177" s="20">
        <v>176.0</v>
      </c>
      <c r="B177" s="20">
        <f t="shared" si="1"/>
        <v>176</v>
      </c>
      <c r="C177" s="21" t="s">
        <v>245</v>
      </c>
      <c r="D177" s="20" t="s">
        <v>444</v>
      </c>
      <c r="E177" s="21" t="s">
        <v>45</v>
      </c>
      <c r="F177" s="21" t="s">
        <v>47</v>
      </c>
      <c r="G177" s="21" t="s">
        <v>588</v>
      </c>
      <c r="H177" s="22" t="s">
        <v>589</v>
      </c>
      <c r="I177" s="20" t="s">
        <v>249</v>
      </c>
      <c r="J177" s="66">
        <v>46382.0</v>
      </c>
      <c r="K177" s="66">
        <v>46386.0</v>
      </c>
      <c r="L177" s="67"/>
      <c r="M177" s="67"/>
      <c r="N177" s="21" t="s">
        <v>590</v>
      </c>
      <c r="O177" s="20" t="s">
        <v>54</v>
      </c>
      <c r="P177" s="20" t="s">
        <v>76</v>
      </c>
      <c r="Q177" s="20" t="s">
        <v>251</v>
      </c>
      <c r="R177" s="68"/>
      <c r="S177" s="28">
        <v>46264.0</v>
      </c>
      <c r="T177" s="68"/>
      <c r="U177" s="69"/>
      <c r="V177" s="20" t="s">
        <v>54</v>
      </c>
      <c r="W177" s="70"/>
      <c r="X177" s="21" t="s">
        <v>56</v>
      </c>
      <c r="Y177" s="20" t="s">
        <v>54</v>
      </c>
      <c r="Z177" s="68"/>
      <c r="AA177" s="29"/>
      <c r="AB177" s="29"/>
      <c r="AC177" s="30"/>
      <c r="AD177" s="68"/>
      <c r="AE177" s="71"/>
      <c r="AF177" s="71"/>
      <c r="AG177" s="71"/>
      <c r="AH177" s="69"/>
      <c r="AI177" s="69"/>
    </row>
    <row r="178" ht="19.5" customHeight="1">
      <c r="A178" s="20">
        <v>177.0</v>
      </c>
      <c r="B178" s="20">
        <f t="shared" si="1"/>
        <v>177</v>
      </c>
      <c r="C178" s="21" t="s">
        <v>245</v>
      </c>
      <c r="D178" s="20" t="s">
        <v>444</v>
      </c>
      <c r="E178" s="21" t="s">
        <v>45</v>
      </c>
      <c r="F178" s="21" t="s">
        <v>47</v>
      </c>
      <c r="G178" s="21" t="s">
        <v>591</v>
      </c>
      <c r="H178" s="22" t="s">
        <v>592</v>
      </c>
      <c r="I178" s="20" t="s">
        <v>249</v>
      </c>
      <c r="J178" s="66">
        <v>46382.0</v>
      </c>
      <c r="K178" s="66">
        <v>46386.0</v>
      </c>
      <c r="L178" s="67"/>
      <c r="M178" s="67"/>
      <c r="N178" s="21" t="s">
        <v>593</v>
      </c>
      <c r="O178" s="20" t="s">
        <v>54</v>
      </c>
      <c r="P178" s="20" t="s">
        <v>76</v>
      </c>
      <c r="Q178" s="20" t="s">
        <v>251</v>
      </c>
      <c r="R178" s="68"/>
      <c r="S178" s="28">
        <v>46264.0</v>
      </c>
      <c r="T178" s="68"/>
      <c r="U178" s="69"/>
      <c r="V178" s="20" t="s">
        <v>54</v>
      </c>
      <c r="W178" s="70"/>
      <c r="X178" s="21" t="s">
        <v>56</v>
      </c>
      <c r="Y178" s="20" t="s">
        <v>54</v>
      </c>
      <c r="Z178" s="68"/>
      <c r="AA178" s="29"/>
      <c r="AB178" s="29"/>
      <c r="AC178" s="30"/>
      <c r="AD178" s="68"/>
      <c r="AE178" s="71"/>
      <c r="AF178" s="71"/>
      <c r="AG178" s="71"/>
      <c r="AH178" s="69"/>
      <c r="AI178" s="69"/>
    </row>
    <row r="179" ht="19.5" customHeight="1">
      <c r="A179" s="20">
        <v>178.0</v>
      </c>
      <c r="B179" s="20">
        <f t="shared" si="1"/>
        <v>178</v>
      </c>
      <c r="C179" s="21" t="s">
        <v>245</v>
      </c>
      <c r="D179" s="20" t="s">
        <v>444</v>
      </c>
      <c r="E179" s="21" t="s">
        <v>45</v>
      </c>
      <c r="F179" s="21" t="s">
        <v>47</v>
      </c>
      <c r="G179" s="21" t="s">
        <v>594</v>
      </c>
      <c r="H179" s="22" t="s">
        <v>595</v>
      </c>
      <c r="I179" s="20" t="s">
        <v>249</v>
      </c>
      <c r="J179" s="66">
        <v>46382.0</v>
      </c>
      <c r="K179" s="66">
        <v>46386.0</v>
      </c>
      <c r="L179" s="67"/>
      <c r="M179" s="67"/>
      <c r="N179" s="21" t="s">
        <v>596</v>
      </c>
      <c r="O179" s="20" t="s">
        <v>54</v>
      </c>
      <c r="P179" s="20" t="s">
        <v>76</v>
      </c>
      <c r="Q179" s="20" t="s">
        <v>251</v>
      </c>
      <c r="R179" s="68"/>
      <c r="S179" s="28">
        <v>46264.0</v>
      </c>
      <c r="T179" s="68"/>
      <c r="U179" s="69"/>
      <c r="V179" s="20" t="s">
        <v>54</v>
      </c>
      <c r="W179" s="70"/>
      <c r="X179" s="21" t="s">
        <v>56</v>
      </c>
      <c r="Y179" s="20" t="s">
        <v>54</v>
      </c>
      <c r="Z179" s="68"/>
      <c r="AA179" s="29"/>
      <c r="AB179" s="29"/>
      <c r="AC179" s="30"/>
      <c r="AD179" s="68"/>
      <c r="AE179" s="71"/>
      <c r="AF179" s="71"/>
      <c r="AG179" s="71"/>
      <c r="AH179" s="69"/>
      <c r="AI179" s="69"/>
    </row>
    <row r="180" ht="19.5" customHeight="1">
      <c r="A180" s="20">
        <v>179.0</v>
      </c>
      <c r="B180" s="20">
        <f t="shared" si="1"/>
        <v>179</v>
      </c>
      <c r="C180" s="21" t="s">
        <v>245</v>
      </c>
      <c r="D180" s="20" t="s">
        <v>444</v>
      </c>
      <c r="E180" s="21" t="s">
        <v>45</v>
      </c>
      <c r="F180" s="21" t="s">
        <v>47</v>
      </c>
      <c r="G180" s="21" t="s">
        <v>597</v>
      </c>
      <c r="H180" s="22" t="s">
        <v>598</v>
      </c>
      <c r="I180" s="20" t="s">
        <v>249</v>
      </c>
      <c r="J180" s="66">
        <v>46382.0</v>
      </c>
      <c r="K180" s="66">
        <v>46386.0</v>
      </c>
      <c r="L180" s="67"/>
      <c r="M180" s="67"/>
      <c r="N180" s="21" t="s">
        <v>599</v>
      </c>
      <c r="O180" s="20" t="s">
        <v>54</v>
      </c>
      <c r="P180" s="20" t="s">
        <v>76</v>
      </c>
      <c r="Q180" s="20" t="s">
        <v>251</v>
      </c>
      <c r="R180" s="68"/>
      <c r="S180" s="28">
        <v>46264.0</v>
      </c>
      <c r="T180" s="68"/>
      <c r="U180" s="69"/>
      <c r="V180" s="20" t="s">
        <v>54</v>
      </c>
      <c r="W180" s="70"/>
      <c r="X180" s="21" t="s">
        <v>56</v>
      </c>
      <c r="Y180" s="20" t="s">
        <v>54</v>
      </c>
      <c r="Z180" s="68"/>
      <c r="AA180" s="29"/>
      <c r="AB180" s="29"/>
      <c r="AC180" s="30"/>
      <c r="AD180" s="68"/>
      <c r="AE180" s="71"/>
      <c r="AF180" s="71"/>
      <c r="AG180" s="71"/>
      <c r="AH180" s="69"/>
      <c r="AI180" s="69"/>
    </row>
    <row r="181" ht="19.5" customHeight="1">
      <c r="A181" s="20">
        <v>180.0</v>
      </c>
      <c r="B181" s="20">
        <f t="shared" si="1"/>
        <v>180</v>
      </c>
      <c r="C181" s="21" t="s">
        <v>245</v>
      </c>
      <c r="D181" s="20" t="s">
        <v>444</v>
      </c>
      <c r="E181" s="21" t="s">
        <v>45</v>
      </c>
      <c r="F181" s="21" t="s">
        <v>47</v>
      </c>
      <c r="G181" s="21" t="s">
        <v>600</v>
      </c>
      <c r="H181" s="22" t="s">
        <v>601</v>
      </c>
      <c r="I181" s="20" t="s">
        <v>249</v>
      </c>
      <c r="J181" s="66">
        <v>46382.0</v>
      </c>
      <c r="K181" s="66">
        <v>46386.0</v>
      </c>
      <c r="L181" s="67"/>
      <c r="M181" s="67"/>
      <c r="N181" s="21" t="s">
        <v>602</v>
      </c>
      <c r="O181" s="20" t="s">
        <v>54</v>
      </c>
      <c r="P181" s="20" t="s">
        <v>76</v>
      </c>
      <c r="Q181" s="20" t="s">
        <v>251</v>
      </c>
      <c r="R181" s="68"/>
      <c r="S181" s="28">
        <v>46264.0</v>
      </c>
      <c r="T181" s="68"/>
      <c r="U181" s="69"/>
      <c r="V181" s="20" t="s">
        <v>54</v>
      </c>
      <c r="W181" s="70"/>
      <c r="X181" s="21" t="s">
        <v>56</v>
      </c>
      <c r="Y181" s="20" t="s">
        <v>54</v>
      </c>
      <c r="Z181" s="68"/>
      <c r="AA181" s="29"/>
      <c r="AB181" s="29"/>
      <c r="AC181" s="30"/>
      <c r="AD181" s="68"/>
      <c r="AE181" s="71"/>
      <c r="AF181" s="71"/>
      <c r="AG181" s="71"/>
      <c r="AH181" s="69"/>
      <c r="AI181" s="69"/>
    </row>
    <row r="182" ht="19.5" customHeight="1">
      <c r="A182" s="20">
        <v>181.0</v>
      </c>
      <c r="B182" s="20">
        <f t="shared" si="1"/>
        <v>181</v>
      </c>
      <c r="C182" s="21" t="s">
        <v>245</v>
      </c>
      <c r="D182" s="20" t="s">
        <v>444</v>
      </c>
      <c r="E182" s="21" t="s">
        <v>45</v>
      </c>
      <c r="F182" s="21" t="s">
        <v>47</v>
      </c>
      <c r="G182" s="21" t="s">
        <v>603</v>
      </c>
      <c r="H182" s="22" t="s">
        <v>604</v>
      </c>
      <c r="I182" s="20" t="s">
        <v>249</v>
      </c>
      <c r="J182" s="66">
        <v>46386.0</v>
      </c>
      <c r="K182" s="66">
        <v>46387.0</v>
      </c>
      <c r="L182" s="67"/>
      <c r="M182" s="67"/>
      <c r="N182" s="21" t="s">
        <v>605</v>
      </c>
      <c r="O182" s="20" t="s">
        <v>54</v>
      </c>
      <c r="P182" s="20" t="s">
        <v>76</v>
      </c>
      <c r="Q182" s="20" t="s">
        <v>251</v>
      </c>
      <c r="R182" s="68"/>
      <c r="S182" s="28">
        <v>46264.0</v>
      </c>
      <c r="T182" s="68"/>
      <c r="U182" s="69"/>
      <c r="V182" s="20" t="s">
        <v>54</v>
      </c>
      <c r="W182" s="70"/>
      <c r="X182" s="21" t="s">
        <v>56</v>
      </c>
      <c r="Y182" s="20" t="s">
        <v>54</v>
      </c>
      <c r="Z182" s="68"/>
      <c r="AA182" s="29"/>
      <c r="AB182" s="29"/>
      <c r="AC182" s="30"/>
      <c r="AD182" s="68"/>
      <c r="AE182" s="71"/>
      <c r="AF182" s="71"/>
      <c r="AG182" s="71"/>
      <c r="AH182" s="69"/>
      <c r="AI182" s="69"/>
    </row>
    <row r="183" ht="19.5" customHeight="1">
      <c r="A183" s="20">
        <v>182.0</v>
      </c>
      <c r="B183" s="20">
        <f t="shared" si="1"/>
        <v>182</v>
      </c>
      <c r="C183" s="21" t="s">
        <v>245</v>
      </c>
      <c r="D183" s="20" t="s">
        <v>444</v>
      </c>
      <c r="E183" s="21" t="s">
        <v>45</v>
      </c>
      <c r="F183" s="21" t="s">
        <v>47</v>
      </c>
      <c r="G183" s="21" t="s">
        <v>606</v>
      </c>
      <c r="H183" s="22" t="s">
        <v>607</v>
      </c>
      <c r="I183" s="20" t="s">
        <v>249</v>
      </c>
      <c r="J183" s="66">
        <v>46386.0</v>
      </c>
      <c r="K183" s="66">
        <v>46387.0</v>
      </c>
      <c r="L183" s="67"/>
      <c r="M183" s="67"/>
      <c r="N183" s="21" t="s">
        <v>608</v>
      </c>
      <c r="O183" s="20" t="s">
        <v>54</v>
      </c>
      <c r="P183" s="20" t="s">
        <v>76</v>
      </c>
      <c r="Q183" s="20" t="s">
        <v>251</v>
      </c>
      <c r="R183" s="68"/>
      <c r="S183" s="28">
        <v>46264.0</v>
      </c>
      <c r="T183" s="68"/>
      <c r="U183" s="69"/>
      <c r="V183" s="20" t="s">
        <v>54</v>
      </c>
      <c r="W183" s="70"/>
      <c r="X183" s="21" t="s">
        <v>56</v>
      </c>
      <c r="Y183" s="20" t="s">
        <v>54</v>
      </c>
      <c r="Z183" s="68"/>
      <c r="AA183" s="29"/>
      <c r="AB183" s="29"/>
      <c r="AC183" s="30"/>
      <c r="AD183" s="68"/>
      <c r="AE183" s="71"/>
      <c r="AF183" s="71"/>
      <c r="AG183" s="71"/>
      <c r="AH183" s="69"/>
      <c r="AI183" s="69"/>
    </row>
    <row r="184" ht="19.5" customHeight="1">
      <c r="A184" s="20">
        <v>183.0</v>
      </c>
      <c r="B184" s="20">
        <f t="shared" si="1"/>
        <v>183</v>
      </c>
      <c r="C184" s="21" t="s">
        <v>245</v>
      </c>
      <c r="D184" s="20" t="s">
        <v>444</v>
      </c>
      <c r="E184" s="21" t="s">
        <v>45</v>
      </c>
      <c r="F184" s="21" t="s">
        <v>47</v>
      </c>
      <c r="G184" s="21" t="s">
        <v>609</v>
      </c>
      <c r="H184" s="22" t="s">
        <v>610</v>
      </c>
      <c r="I184" s="20" t="s">
        <v>249</v>
      </c>
      <c r="J184" s="66">
        <v>46386.0</v>
      </c>
      <c r="K184" s="66">
        <v>46387.0</v>
      </c>
      <c r="L184" s="67"/>
      <c r="M184" s="67"/>
      <c r="N184" s="21" t="s">
        <v>611</v>
      </c>
      <c r="O184" s="20" t="s">
        <v>54</v>
      </c>
      <c r="P184" s="20" t="s">
        <v>76</v>
      </c>
      <c r="Q184" s="20" t="s">
        <v>251</v>
      </c>
      <c r="R184" s="68"/>
      <c r="S184" s="28">
        <v>46264.0</v>
      </c>
      <c r="T184" s="68"/>
      <c r="U184" s="69"/>
      <c r="V184" s="20" t="s">
        <v>54</v>
      </c>
      <c r="W184" s="70"/>
      <c r="X184" s="21" t="s">
        <v>56</v>
      </c>
      <c r="Y184" s="20" t="s">
        <v>54</v>
      </c>
      <c r="Z184" s="68"/>
      <c r="AA184" s="29"/>
      <c r="AB184" s="29"/>
      <c r="AC184" s="30"/>
      <c r="AD184" s="68"/>
      <c r="AE184" s="71"/>
      <c r="AF184" s="71"/>
      <c r="AG184" s="71"/>
      <c r="AH184" s="69"/>
      <c r="AI184" s="69"/>
    </row>
    <row r="185" ht="19.5" customHeight="1">
      <c r="A185" s="20">
        <v>184.0</v>
      </c>
      <c r="B185" s="20">
        <f t="shared" si="1"/>
        <v>184</v>
      </c>
      <c r="C185" s="21" t="s">
        <v>245</v>
      </c>
      <c r="D185" s="20" t="s">
        <v>444</v>
      </c>
      <c r="E185" s="21" t="s">
        <v>45</v>
      </c>
      <c r="F185" s="21" t="s">
        <v>47</v>
      </c>
      <c r="G185" s="21" t="s">
        <v>612</v>
      </c>
      <c r="H185" s="22" t="s">
        <v>613</v>
      </c>
      <c r="I185" s="20" t="s">
        <v>249</v>
      </c>
      <c r="J185" s="66">
        <v>46386.0</v>
      </c>
      <c r="K185" s="66">
        <v>46387.0</v>
      </c>
      <c r="L185" s="67"/>
      <c r="M185" s="67"/>
      <c r="N185" s="21" t="s">
        <v>614</v>
      </c>
      <c r="O185" s="20" t="s">
        <v>54</v>
      </c>
      <c r="P185" s="20" t="s">
        <v>76</v>
      </c>
      <c r="Q185" s="20" t="s">
        <v>251</v>
      </c>
      <c r="R185" s="68"/>
      <c r="S185" s="28">
        <v>46264.0</v>
      </c>
      <c r="T185" s="68"/>
      <c r="U185" s="69"/>
      <c r="V185" s="20" t="s">
        <v>54</v>
      </c>
      <c r="W185" s="70"/>
      <c r="X185" s="21" t="s">
        <v>56</v>
      </c>
      <c r="Y185" s="20" t="s">
        <v>54</v>
      </c>
      <c r="Z185" s="68"/>
      <c r="AA185" s="29"/>
      <c r="AB185" s="29"/>
      <c r="AC185" s="30"/>
      <c r="AD185" s="68"/>
      <c r="AE185" s="71"/>
      <c r="AF185" s="71"/>
      <c r="AG185" s="71"/>
      <c r="AH185" s="69"/>
      <c r="AI185" s="69"/>
    </row>
    <row r="186" ht="19.5" customHeight="1">
      <c r="A186" s="20">
        <v>185.0</v>
      </c>
      <c r="B186" s="20">
        <f t="shared" si="1"/>
        <v>185</v>
      </c>
      <c r="C186" s="21" t="s">
        <v>245</v>
      </c>
      <c r="D186" s="20" t="s">
        <v>444</v>
      </c>
      <c r="E186" s="21" t="s">
        <v>45</v>
      </c>
      <c r="F186" s="21" t="s">
        <v>47</v>
      </c>
      <c r="G186" s="21" t="s">
        <v>615</v>
      </c>
      <c r="H186" s="22" t="s">
        <v>616</v>
      </c>
      <c r="I186" s="20" t="s">
        <v>249</v>
      </c>
      <c r="J186" s="66">
        <v>46386.0</v>
      </c>
      <c r="K186" s="66">
        <v>46387.0</v>
      </c>
      <c r="L186" s="67"/>
      <c r="M186" s="67"/>
      <c r="N186" s="21" t="s">
        <v>617</v>
      </c>
      <c r="O186" s="20" t="s">
        <v>54</v>
      </c>
      <c r="P186" s="20" t="s">
        <v>76</v>
      </c>
      <c r="Q186" s="20" t="s">
        <v>251</v>
      </c>
      <c r="R186" s="68"/>
      <c r="S186" s="28">
        <v>46264.0</v>
      </c>
      <c r="T186" s="68"/>
      <c r="U186" s="69"/>
      <c r="V186" s="20" t="s">
        <v>54</v>
      </c>
      <c r="W186" s="70"/>
      <c r="X186" s="21" t="s">
        <v>56</v>
      </c>
      <c r="Y186" s="20" t="s">
        <v>54</v>
      </c>
      <c r="Z186" s="68"/>
      <c r="AA186" s="29"/>
      <c r="AB186" s="29"/>
      <c r="AC186" s="30"/>
      <c r="AD186" s="68"/>
      <c r="AE186" s="71"/>
      <c r="AF186" s="71"/>
      <c r="AG186" s="71"/>
      <c r="AH186" s="69"/>
      <c r="AI186" s="69"/>
    </row>
    <row r="187" ht="19.5" customHeight="1">
      <c r="A187" s="20">
        <v>186.0</v>
      </c>
      <c r="B187" s="20">
        <f t="shared" si="1"/>
        <v>186</v>
      </c>
      <c r="C187" s="21" t="s">
        <v>245</v>
      </c>
      <c r="D187" s="20" t="s">
        <v>444</v>
      </c>
      <c r="E187" s="21" t="s">
        <v>45</v>
      </c>
      <c r="F187" s="21" t="s">
        <v>47</v>
      </c>
      <c r="G187" s="21" t="s">
        <v>618</v>
      </c>
      <c r="H187" s="22" t="s">
        <v>619</v>
      </c>
      <c r="I187" s="20" t="s">
        <v>249</v>
      </c>
      <c r="J187" s="66">
        <v>46386.0</v>
      </c>
      <c r="K187" s="66">
        <v>46387.0</v>
      </c>
      <c r="L187" s="67"/>
      <c r="M187" s="67"/>
      <c r="N187" s="21" t="s">
        <v>620</v>
      </c>
      <c r="O187" s="20" t="s">
        <v>54</v>
      </c>
      <c r="P187" s="20" t="s">
        <v>76</v>
      </c>
      <c r="Q187" s="20" t="s">
        <v>251</v>
      </c>
      <c r="R187" s="68"/>
      <c r="S187" s="28">
        <v>46264.0</v>
      </c>
      <c r="T187" s="68"/>
      <c r="U187" s="69"/>
      <c r="V187" s="20" t="s">
        <v>54</v>
      </c>
      <c r="W187" s="70"/>
      <c r="X187" s="21" t="s">
        <v>56</v>
      </c>
      <c r="Y187" s="20" t="s">
        <v>54</v>
      </c>
      <c r="Z187" s="68"/>
      <c r="AA187" s="29"/>
      <c r="AB187" s="29"/>
      <c r="AC187" s="30"/>
      <c r="AD187" s="68"/>
      <c r="AE187" s="71"/>
      <c r="AF187" s="71"/>
      <c r="AG187" s="71"/>
      <c r="AH187" s="69"/>
      <c r="AI187" s="69"/>
    </row>
    <row r="188" ht="19.5" customHeight="1">
      <c r="A188" s="20">
        <v>187.0</v>
      </c>
      <c r="B188" s="20">
        <f t="shared" si="1"/>
        <v>187</v>
      </c>
      <c r="C188" s="21" t="s">
        <v>245</v>
      </c>
      <c r="D188" s="20" t="s">
        <v>444</v>
      </c>
      <c r="E188" s="21" t="s">
        <v>45</v>
      </c>
      <c r="F188" s="21" t="s">
        <v>47</v>
      </c>
      <c r="G188" s="21" t="s">
        <v>621</v>
      </c>
      <c r="H188" s="22" t="s">
        <v>622</v>
      </c>
      <c r="I188" s="20" t="s">
        <v>249</v>
      </c>
      <c r="J188" s="66">
        <v>46386.0</v>
      </c>
      <c r="K188" s="66">
        <v>46387.0</v>
      </c>
      <c r="L188" s="67"/>
      <c r="M188" s="67"/>
      <c r="N188" s="21" t="s">
        <v>623</v>
      </c>
      <c r="O188" s="20" t="s">
        <v>54</v>
      </c>
      <c r="P188" s="20" t="s">
        <v>76</v>
      </c>
      <c r="Q188" s="20" t="s">
        <v>251</v>
      </c>
      <c r="R188" s="68"/>
      <c r="S188" s="28">
        <v>46264.0</v>
      </c>
      <c r="T188" s="68"/>
      <c r="U188" s="69"/>
      <c r="V188" s="20" t="s">
        <v>54</v>
      </c>
      <c r="W188" s="70"/>
      <c r="X188" s="21" t="s">
        <v>56</v>
      </c>
      <c r="Y188" s="20" t="s">
        <v>54</v>
      </c>
      <c r="Z188" s="68"/>
      <c r="AA188" s="29"/>
      <c r="AB188" s="29"/>
      <c r="AC188" s="30"/>
      <c r="AD188" s="68"/>
      <c r="AE188" s="71"/>
      <c r="AF188" s="71"/>
      <c r="AG188" s="71"/>
      <c r="AH188" s="69"/>
      <c r="AI188" s="69"/>
    </row>
    <row r="189" ht="19.5" customHeight="1">
      <c r="A189" s="20">
        <v>188.0</v>
      </c>
      <c r="B189" s="20">
        <f t="shared" si="1"/>
        <v>188</v>
      </c>
      <c r="C189" s="21" t="s">
        <v>245</v>
      </c>
      <c r="D189" s="20" t="s">
        <v>444</v>
      </c>
      <c r="E189" s="21" t="s">
        <v>45</v>
      </c>
      <c r="F189" s="21" t="s">
        <v>47</v>
      </c>
      <c r="G189" s="21" t="s">
        <v>624</v>
      </c>
      <c r="H189" s="33" t="s">
        <v>625</v>
      </c>
      <c r="I189" s="20" t="s">
        <v>447</v>
      </c>
      <c r="J189" s="66">
        <v>46337.0</v>
      </c>
      <c r="K189" s="66">
        <v>46338.0</v>
      </c>
      <c r="L189" s="67"/>
      <c r="M189" s="67"/>
      <c r="N189" s="21" t="s">
        <v>626</v>
      </c>
      <c r="O189" s="20" t="s">
        <v>54</v>
      </c>
      <c r="P189" s="20" t="s">
        <v>76</v>
      </c>
      <c r="Q189" s="20" t="s">
        <v>251</v>
      </c>
      <c r="R189" s="68"/>
      <c r="S189" s="28">
        <v>46264.0</v>
      </c>
      <c r="T189" s="68"/>
      <c r="U189" s="69"/>
      <c r="V189" s="20" t="s">
        <v>54</v>
      </c>
      <c r="W189" s="70"/>
      <c r="X189" s="21" t="s">
        <v>56</v>
      </c>
      <c r="Y189" s="20" t="s">
        <v>82</v>
      </c>
      <c r="Z189" s="68"/>
      <c r="AA189" s="29"/>
      <c r="AB189" s="29"/>
      <c r="AC189" s="30"/>
      <c r="AD189" s="68"/>
      <c r="AE189" s="71"/>
      <c r="AF189" s="71"/>
      <c r="AG189" s="71"/>
      <c r="AH189" s="69"/>
      <c r="AI189" s="69"/>
    </row>
    <row r="190" ht="19.5" customHeight="1">
      <c r="A190" s="20">
        <v>189.0</v>
      </c>
      <c r="B190" s="20">
        <f t="shared" si="1"/>
        <v>189</v>
      </c>
      <c r="C190" s="21" t="s">
        <v>245</v>
      </c>
      <c r="D190" s="20" t="s">
        <v>444</v>
      </c>
      <c r="E190" s="21" t="s">
        <v>45</v>
      </c>
      <c r="F190" s="21" t="s">
        <v>47</v>
      </c>
      <c r="G190" s="21" t="s">
        <v>627</v>
      </c>
      <c r="H190" s="22" t="s">
        <v>628</v>
      </c>
      <c r="I190" s="20" t="s">
        <v>447</v>
      </c>
      <c r="J190" s="66">
        <v>46339.0</v>
      </c>
      <c r="K190" s="66">
        <v>46340.0</v>
      </c>
      <c r="L190" s="67"/>
      <c r="M190" s="67"/>
      <c r="N190" s="21" t="s">
        <v>629</v>
      </c>
      <c r="O190" s="20" t="s">
        <v>54</v>
      </c>
      <c r="P190" s="20" t="s">
        <v>76</v>
      </c>
      <c r="Q190" s="20" t="s">
        <v>251</v>
      </c>
      <c r="R190" s="68"/>
      <c r="S190" s="28">
        <v>46264.0</v>
      </c>
      <c r="T190" s="68"/>
      <c r="U190" s="69"/>
      <c r="V190" s="20" t="s">
        <v>54</v>
      </c>
      <c r="W190" s="70"/>
      <c r="X190" s="21" t="s">
        <v>56</v>
      </c>
      <c r="Y190" s="20" t="s">
        <v>82</v>
      </c>
      <c r="Z190" s="68"/>
      <c r="AA190" s="29"/>
      <c r="AB190" s="29"/>
      <c r="AC190" s="30"/>
      <c r="AD190" s="68"/>
      <c r="AE190" s="71"/>
      <c r="AF190" s="71"/>
      <c r="AG190" s="71"/>
      <c r="AH190" s="69"/>
      <c r="AI190" s="69"/>
    </row>
    <row r="191" ht="19.5" customHeight="1">
      <c r="A191" s="20">
        <v>190.0</v>
      </c>
      <c r="B191" s="20">
        <f t="shared" si="1"/>
        <v>190</v>
      </c>
      <c r="C191" s="21" t="s">
        <v>245</v>
      </c>
      <c r="D191" s="20" t="s">
        <v>444</v>
      </c>
      <c r="E191" s="21" t="s">
        <v>45</v>
      </c>
      <c r="F191" s="21" t="s">
        <v>47</v>
      </c>
      <c r="G191" s="21" t="s">
        <v>630</v>
      </c>
      <c r="H191" s="22" t="s">
        <v>631</v>
      </c>
      <c r="I191" s="20" t="s">
        <v>447</v>
      </c>
      <c r="J191" s="66">
        <v>46270.0</v>
      </c>
      <c r="K191" s="66">
        <v>46271.0</v>
      </c>
      <c r="L191" s="67"/>
      <c r="M191" s="67"/>
      <c r="N191" s="21" t="s">
        <v>632</v>
      </c>
      <c r="O191" s="20" t="s">
        <v>54</v>
      </c>
      <c r="P191" s="20" t="s">
        <v>85</v>
      </c>
      <c r="Q191" s="20" t="s">
        <v>251</v>
      </c>
      <c r="R191" s="68"/>
      <c r="S191" s="28">
        <v>46264.0</v>
      </c>
      <c r="T191" s="68"/>
      <c r="U191" s="69"/>
      <c r="V191" s="20" t="s">
        <v>54</v>
      </c>
      <c r="W191" s="70"/>
      <c r="X191" s="21" t="s">
        <v>56</v>
      </c>
      <c r="Y191" s="20" t="s">
        <v>82</v>
      </c>
      <c r="Z191" s="68"/>
      <c r="AA191" s="29"/>
      <c r="AB191" s="29"/>
      <c r="AC191" s="30"/>
      <c r="AD191" s="68"/>
      <c r="AE191" s="71"/>
      <c r="AF191" s="71"/>
      <c r="AG191" s="71"/>
      <c r="AH191" s="69"/>
      <c r="AI191" s="69"/>
    </row>
    <row r="192" ht="19.5" customHeight="1">
      <c r="A192" s="20">
        <v>191.0</v>
      </c>
      <c r="B192" s="20">
        <f t="shared" si="1"/>
        <v>191</v>
      </c>
      <c r="C192" s="21" t="s">
        <v>245</v>
      </c>
      <c r="D192" s="20" t="s">
        <v>444</v>
      </c>
      <c r="E192" s="21" t="s">
        <v>45</v>
      </c>
      <c r="F192" s="21" t="s">
        <v>47</v>
      </c>
      <c r="G192" s="21" t="s">
        <v>633</v>
      </c>
      <c r="H192" s="22" t="s">
        <v>634</v>
      </c>
      <c r="I192" s="20" t="s">
        <v>447</v>
      </c>
      <c r="J192" s="66">
        <v>46274.0</v>
      </c>
      <c r="K192" s="66">
        <v>46275.0</v>
      </c>
      <c r="L192" s="67"/>
      <c r="M192" s="67"/>
      <c r="N192" s="21" t="s">
        <v>635</v>
      </c>
      <c r="O192" s="20" t="s">
        <v>54</v>
      </c>
      <c r="P192" s="20" t="s">
        <v>85</v>
      </c>
      <c r="Q192" s="20" t="s">
        <v>251</v>
      </c>
      <c r="R192" s="68"/>
      <c r="S192" s="28">
        <v>46264.0</v>
      </c>
      <c r="T192" s="68"/>
      <c r="U192" s="69"/>
      <c r="V192" s="20" t="s">
        <v>54</v>
      </c>
      <c r="W192" s="70"/>
      <c r="X192" s="21" t="s">
        <v>56</v>
      </c>
      <c r="Y192" s="20" t="s">
        <v>82</v>
      </c>
      <c r="Z192" s="68"/>
      <c r="AA192" s="29"/>
      <c r="AB192" s="29"/>
      <c r="AC192" s="30"/>
      <c r="AD192" s="68"/>
      <c r="AE192" s="71"/>
      <c r="AF192" s="71"/>
      <c r="AG192" s="71"/>
      <c r="AH192" s="69"/>
      <c r="AI192" s="69"/>
    </row>
    <row r="193" ht="19.5" customHeight="1">
      <c r="A193" s="20">
        <v>192.0</v>
      </c>
      <c r="B193" s="20">
        <f t="shared" si="1"/>
        <v>192</v>
      </c>
      <c r="C193" s="21" t="s">
        <v>245</v>
      </c>
      <c r="D193" s="20" t="s">
        <v>444</v>
      </c>
      <c r="E193" s="21" t="s">
        <v>45</v>
      </c>
      <c r="F193" s="21" t="s">
        <v>47</v>
      </c>
      <c r="G193" s="21" t="s">
        <v>636</v>
      </c>
      <c r="H193" s="22" t="s">
        <v>637</v>
      </c>
      <c r="I193" s="20" t="s">
        <v>447</v>
      </c>
      <c r="J193" s="66">
        <v>46276.0</v>
      </c>
      <c r="K193" s="66">
        <v>46277.0</v>
      </c>
      <c r="L193" s="67"/>
      <c r="M193" s="67"/>
      <c r="N193" s="21" t="s">
        <v>638</v>
      </c>
      <c r="O193" s="20" t="s">
        <v>54</v>
      </c>
      <c r="P193" s="20" t="s">
        <v>85</v>
      </c>
      <c r="Q193" s="20" t="s">
        <v>251</v>
      </c>
      <c r="R193" s="68"/>
      <c r="S193" s="28">
        <v>46264.0</v>
      </c>
      <c r="T193" s="68"/>
      <c r="U193" s="69"/>
      <c r="V193" s="20" t="s">
        <v>54</v>
      </c>
      <c r="W193" s="70"/>
      <c r="X193" s="21" t="s">
        <v>56</v>
      </c>
      <c r="Y193" s="20" t="s">
        <v>82</v>
      </c>
      <c r="Z193" s="68"/>
      <c r="AA193" s="29"/>
      <c r="AB193" s="29"/>
      <c r="AC193" s="30"/>
      <c r="AD193" s="68"/>
      <c r="AE193" s="71"/>
      <c r="AF193" s="71"/>
      <c r="AG193" s="71"/>
      <c r="AH193" s="69"/>
      <c r="AI193" s="69"/>
    </row>
    <row r="194" ht="19.5" customHeight="1">
      <c r="A194" s="20">
        <v>193.0</v>
      </c>
      <c r="B194" s="20">
        <f t="shared" si="1"/>
        <v>193</v>
      </c>
      <c r="C194" s="21" t="s">
        <v>245</v>
      </c>
      <c r="D194" s="20" t="s">
        <v>444</v>
      </c>
      <c r="E194" s="21" t="s">
        <v>45</v>
      </c>
      <c r="F194" s="21" t="s">
        <v>47</v>
      </c>
      <c r="G194" s="21" t="s">
        <v>639</v>
      </c>
      <c r="H194" s="22" t="s">
        <v>640</v>
      </c>
      <c r="I194" s="20" t="s">
        <v>447</v>
      </c>
      <c r="J194" s="66">
        <v>46278.0</v>
      </c>
      <c r="K194" s="66">
        <v>46281.0</v>
      </c>
      <c r="L194" s="67"/>
      <c r="M194" s="67"/>
      <c r="N194" s="21" t="s">
        <v>641</v>
      </c>
      <c r="O194" s="20" t="s">
        <v>54</v>
      </c>
      <c r="P194" s="20" t="s">
        <v>85</v>
      </c>
      <c r="Q194" s="20" t="s">
        <v>251</v>
      </c>
      <c r="R194" s="68"/>
      <c r="S194" s="28">
        <v>46264.0</v>
      </c>
      <c r="T194" s="68"/>
      <c r="U194" s="69"/>
      <c r="V194" s="20" t="s">
        <v>54</v>
      </c>
      <c r="W194" s="70"/>
      <c r="X194" s="21" t="s">
        <v>56</v>
      </c>
      <c r="Y194" s="20" t="s">
        <v>82</v>
      </c>
      <c r="Z194" s="68"/>
      <c r="AA194" s="29"/>
      <c r="AB194" s="29"/>
      <c r="AC194" s="30"/>
      <c r="AD194" s="68"/>
      <c r="AE194" s="71"/>
      <c r="AF194" s="71"/>
      <c r="AG194" s="71"/>
      <c r="AH194" s="69"/>
      <c r="AI194" s="69"/>
    </row>
    <row r="195" ht="19.5" customHeight="1">
      <c r="A195" s="20">
        <v>194.0</v>
      </c>
      <c r="B195" s="20">
        <f t="shared" si="1"/>
        <v>194</v>
      </c>
      <c r="C195" s="21" t="s">
        <v>245</v>
      </c>
      <c r="D195" s="20" t="s">
        <v>444</v>
      </c>
      <c r="E195" s="21" t="s">
        <v>45</v>
      </c>
      <c r="F195" s="21" t="s">
        <v>47</v>
      </c>
      <c r="G195" s="21" t="s">
        <v>642</v>
      </c>
      <c r="H195" s="22" t="s">
        <v>643</v>
      </c>
      <c r="I195" s="20" t="s">
        <v>447</v>
      </c>
      <c r="J195" s="66">
        <v>46282.0</v>
      </c>
      <c r="K195" s="66">
        <v>46283.0</v>
      </c>
      <c r="L195" s="67"/>
      <c r="M195" s="67"/>
      <c r="N195" s="21" t="s">
        <v>644</v>
      </c>
      <c r="O195" s="20" t="s">
        <v>54</v>
      </c>
      <c r="P195" s="20" t="s">
        <v>85</v>
      </c>
      <c r="Q195" s="20" t="s">
        <v>251</v>
      </c>
      <c r="R195" s="68"/>
      <c r="S195" s="28">
        <v>46264.0</v>
      </c>
      <c r="T195" s="68"/>
      <c r="U195" s="69"/>
      <c r="V195" s="20" t="s">
        <v>54</v>
      </c>
      <c r="W195" s="70"/>
      <c r="X195" s="21" t="s">
        <v>56</v>
      </c>
      <c r="Y195" s="20" t="s">
        <v>82</v>
      </c>
      <c r="Z195" s="68"/>
      <c r="AA195" s="29"/>
      <c r="AB195" s="29"/>
      <c r="AC195" s="30"/>
      <c r="AD195" s="68"/>
      <c r="AE195" s="71"/>
      <c r="AF195" s="71"/>
      <c r="AG195" s="71"/>
      <c r="AH195" s="69"/>
      <c r="AI195" s="69"/>
    </row>
    <row r="196" ht="19.5" customHeight="1">
      <c r="A196" s="20">
        <v>195.0</v>
      </c>
      <c r="B196" s="20">
        <f t="shared" si="1"/>
        <v>195</v>
      </c>
      <c r="C196" s="21" t="s">
        <v>245</v>
      </c>
      <c r="D196" s="20" t="s">
        <v>444</v>
      </c>
      <c r="E196" s="21" t="s">
        <v>45</v>
      </c>
      <c r="F196" s="21" t="s">
        <v>47</v>
      </c>
      <c r="G196" s="21" t="s">
        <v>645</v>
      </c>
      <c r="H196" s="22" t="s">
        <v>646</v>
      </c>
      <c r="I196" s="20" t="s">
        <v>447</v>
      </c>
      <c r="J196" s="66">
        <v>46284.0</v>
      </c>
      <c r="K196" s="66">
        <v>46285.0</v>
      </c>
      <c r="L196" s="67"/>
      <c r="M196" s="67"/>
      <c r="N196" s="21" t="s">
        <v>647</v>
      </c>
      <c r="O196" s="20" t="s">
        <v>54</v>
      </c>
      <c r="P196" s="20" t="s">
        <v>85</v>
      </c>
      <c r="Q196" s="20" t="s">
        <v>251</v>
      </c>
      <c r="R196" s="68"/>
      <c r="S196" s="28">
        <v>46264.0</v>
      </c>
      <c r="T196" s="68"/>
      <c r="U196" s="69"/>
      <c r="V196" s="20" t="s">
        <v>54</v>
      </c>
      <c r="W196" s="70"/>
      <c r="X196" s="21" t="s">
        <v>56</v>
      </c>
      <c r="Y196" s="20" t="s">
        <v>82</v>
      </c>
      <c r="Z196" s="68"/>
      <c r="AA196" s="29"/>
      <c r="AB196" s="29"/>
      <c r="AC196" s="30"/>
      <c r="AD196" s="68"/>
      <c r="AE196" s="71"/>
      <c r="AF196" s="71"/>
      <c r="AG196" s="71"/>
      <c r="AH196" s="69"/>
      <c r="AI196" s="69"/>
    </row>
    <row r="197" ht="19.5" customHeight="1">
      <c r="A197" s="20">
        <v>196.0</v>
      </c>
      <c r="B197" s="20">
        <f t="shared" si="1"/>
        <v>196</v>
      </c>
      <c r="C197" s="21" t="s">
        <v>245</v>
      </c>
      <c r="D197" s="20" t="s">
        <v>444</v>
      </c>
      <c r="E197" s="21" t="s">
        <v>45</v>
      </c>
      <c r="F197" s="21" t="s">
        <v>47</v>
      </c>
      <c r="G197" s="21" t="s">
        <v>648</v>
      </c>
      <c r="H197" s="33" t="s">
        <v>649</v>
      </c>
      <c r="I197" s="20" t="s">
        <v>447</v>
      </c>
      <c r="J197" s="66">
        <v>46327.0</v>
      </c>
      <c r="K197" s="66">
        <v>46330.0</v>
      </c>
      <c r="L197" s="67"/>
      <c r="M197" s="67"/>
      <c r="N197" s="21" t="s">
        <v>650</v>
      </c>
      <c r="O197" s="20" t="s">
        <v>54</v>
      </c>
      <c r="P197" s="20" t="s">
        <v>85</v>
      </c>
      <c r="Q197" s="20" t="s">
        <v>251</v>
      </c>
      <c r="R197" s="68"/>
      <c r="S197" s="28">
        <v>46264.0</v>
      </c>
      <c r="T197" s="68"/>
      <c r="U197" s="69"/>
      <c r="V197" s="20" t="s">
        <v>54</v>
      </c>
      <c r="W197" s="70"/>
      <c r="X197" s="21" t="s">
        <v>56</v>
      </c>
      <c r="Y197" s="20" t="s">
        <v>82</v>
      </c>
      <c r="Z197" s="68"/>
      <c r="AA197" s="29"/>
      <c r="AB197" s="29"/>
      <c r="AC197" s="30"/>
      <c r="AD197" s="68"/>
      <c r="AE197" s="71"/>
      <c r="AF197" s="71"/>
      <c r="AG197" s="71"/>
      <c r="AH197" s="69"/>
      <c r="AI197" s="69"/>
    </row>
    <row r="198" ht="19.5" customHeight="1">
      <c r="A198" s="20">
        <v>197.0</v>
      </c>
      <c r="B198" s="20">
        <f t="shared" si="1"/>
        <v>197</v>
      </c>
      <c r="C198" s="21" t="s">
        <v>245</v>
      </c>
      <c r="D198" s="20" t="s">
        <v>444</v>
      </c>
      <c r="E198" s="21" t="s">
        <v>45</v>
      </c>
      <c r="F198" s="21" t="s">
        <v>47</v>
      </c>
      <c r="G198" s="21" t="s">
        <v>651</v>
      </c>
      <c r="H198" s="22" t="s">
        <v>652</v>
      </c>
      <c r="I198" s="20" t="s">
        <v>447</v>
      </c>
      <c r="J198" s="66">
        <v>46288.0</v>
      </c>
      <c r="K198" s="66">
        <v>46295.0</v>
      </c>
      <c r="L198" s="67"/>
      <c r="M198" s="67"/>
      <c r="N198" s="21" t="s">
        <v>653</v>
      </c>
      <c r="O198" s="20" t="s">
        <v>54</v>
      </c>
      <c r="P198" s="20" t="s">
        <v>85</v>
      </c>
      <c r="Q198" s="20" t="s">
        <v>251</v>
      </c>
      <c r="R198" s="68"/>
      <c r="S198" s="28">
        <v>46264.0</v>
      </c>
      <c r="T198" s="68"/>
      <c r="U198" s="69"/>
      <c r="V198" s="20" t="s">
        <v>54</v>
      </c>
      <c r="W198" s="70"/>
      <c r="X198" s="21" t="s">
        <v>56</v>
      </c>
      <c r="Y198" s="20" t="s">
        <v>82</v>
      </c>
      <c r="Z198" s="68"/>
      <c r="AA198" s="29"/>
      <c r="AB198" s="29"/>
      <c r="AC198" s="30"/>
      <c r="AD198" s="68"/>
      <c r="AE198" s="71"/>
      <c r="AF198" s="71"/>
      <c r="AG198" s="71"/>
      <c r="AH198" s="69"/>
      <c r="AI198" s="69"/>
    </row>
    <row r="199" ht="19.5" customHeight="1">
      <c r="A199" s="20">
        <v>198.0</v>
      </c>
      <c r="B199" s="20">
        <f t="shared" si="1"/>
        <v>198</v>
      </c>
      <c r="C199" s="21" t="s">
        <v>245</v>
      </c>
      <c r="D199" s="20" t="s">
        <v>444</v>
      </c>
      <c r="E199" s="21" t="s">
        <v>45</v>
      </c>
      <c r="F199" s="21" t="s">
        <v>47</v>
      </c>
      <c r="G199" s="21" t="s">
        <v>654</v>
      </c>
      <c r="H199" s="22" t="s">
        <v>655</v>
      </c>
      <c r="I199" s="20" t="s">
        <v>447</v>
      </c>
      <c r="J199" s="66">
        <v>46296.0</v>
      </c>
      <c r="K199" s="66">
        <v>46297.0</v>
      </c>
      <c r="L199" s="67"/>
      <c r="M199" s="67"/>
      <c r="N199" s="21" t="s">
        <v>656</v>
      </c>
      <c r="O199" s="20" t="s">
        <v>54</v>
      </c>
      <c r="P199" s="20" t="s">
        <v>85</v>
      </c>
      <c r="Q199" s="20" t="s">
        <v>251</v>
      </c>
      <c r="R199" s="68"/>
      <c r="S199" s="28">
        <v>46264.0</v>
      </c>
      <c r="T199" s="68"/>
      <c r="U199" s="69"/>
      <c r="V199" s="20" t="s">
        <v>54</v>
      </c>
      <c r="W199" s="70"/>
      <c r="X199" s="21" t="s">
        <v>56</v>
      </c>
      <c r="Y199" s="20" t="s">
        <v>82</v>
      </c>
      <c r="Z199" s="68"/>
      <c r="AA199" s="29"/>
      <c r="AB199" s="29"/>
      <c r="AC199" s="30"/>
      <c r="AD199" s="68"/>
      <c r="AE199" s="71"/>
      <c r="AF199" s="71"/>
      <c r="AG199" s="71"/>
      <c r="AH199" s="69"/>
      <c r="AI199" s="69"/>
    </row>
    <row r="200" ht="19.5" customHeight="1">
      <c r="A200" s="20">
        <v>199.0</v>
      </c>
      <c r="B200" s="20">
        <f t="shared" si="1"/>
        <v>199</v>
      </c>
      <c r="C200" s="21" t="s">
        <v>245</v>
      </c>
      <c r="D200" s="20" t="s">
        <v>444</v>
      </c>
      <c r="E200" s="21" t="s">
        <v>45</v>
      </c>
      <c r="F200" s="21" t="s">
        <v>47</v>
      </c>
      <c r="G200" s="21" t="s">
        <v>657</v>
      </c>
      <c r="H200" s="22" t="s">
        <v>658</v>
      </c>
      <c r="I200" s="20" t="s">
        <v>447</v>
      </c>
      <c r="J200" s="66">
        <v>46298.0</v>
      </c>
      <c r="K200" s="66">
        <v>46299.0</v>
      </c>
      <c r="L200" s="67"/>
      <c r="M200" s="67"/>
      <c r="N200" s="21" t="s">
        <v>659</v>
      </c>
      <c r="O200" s="20" t="s">
        <v>54</v>
      </c>
      <c r="P200" s="20" t="s">
        <v>85</v>
      </c>
      <c r="Q200" s="20" t="s">
        <v>251</v>
      </c>
      <c r="R200" s="68"/>
      <c r="S200" s="28">
        <v>46264.0</v>
      </c>
      <c r="T200" s="68"/>
      <c r="U200" s="69"/>
      <c r="V200" s="20" t="s">
        <v>54</v>
      </c>
      <c r="W200" s="70"/>
      <c r="X200" s="21" t="s">
        <v>56</v>
      </c>
      <c r="Y200" s="20" t="s">
        <v>82</v>
      </c>
      <c r="Z200" s="68"/>
      <c r="AA200" s="29"/>
      <c r="AB200" s="29"/>
      <c r="AC200" s="30"/>
      <c r="AD200" s="68"/>
      <c r="AE200" s="71"/>
      <c r="AF200" s="71"/>
      <c r="AG200" s="71"/>
      <c r="AH200" s="69"/>
      <c r="AI200" s="69"/>
    </row>
    <row r="201" ht="19.5" customHeight="1">
      <c r="A201" s="20">
        <v>200.0</v>
      </c>
      <c r="B201" s="20">
        <f t="shared" si="1"/>
        <v>200</v>
      </c>
      <c r="C201" s="21" t="s">
        <v>245</v>
      </c>
      <c r="D201" s="20" t="s">
        <v>444</v>
      </c>
      <c r="E201" s="21" t="s">
        <v>45</v>
      </c>
      <c r="F201" s="21" t="s">
        <v>47</v>
      </c>
      <c r="G201" s="21" t="s">
        <v>660</v>
      </c>
      <c r="H201" s="22" t="s">
        <v>661</v>
      </c>
      <c r="I201" s="20" t="s">
        <v>447</v>
      </c>
      <c r="J201" s="66">
        <v>46302.0</v>
      </c>
      <c r="K201" s="66">
        <v>46303.0</v>
      </c>
      <c r="L201" s="67"/>
      <c r="M201" s="67"/>
      <c r="N201" s="21" t="s">
        <v>662</v>
      </c>
      <c r="O201" s="20" t="s">
        <v>54</v>
      </c>
      <c r="P201" s="20" t="s">
        <v>85</v>
      </c>
      <c r="Q201" s="20" t="s">
        <v>251</v>
      </c>
      <c r="R201" s="68"/>
      <c r="S201" s="28">
        <v>46264.0</v>
      </c>
      <c r="T201" s="68"/>
      <c r="U201" s="69"/>
      <c r="V201" s="20" t="s">
        <v>54</v>
      </c>
      <c r="W201" s="70"/>
      <c r="X201" s="21" t="s">
        <v>56</v>
      </c>
      <c r="Y201" s="20" t="s">
        <v>82</v>
      </c>
      <c r="Z201" s="68"/>
      <c r="AA201" s="29"/>
      <c r="AB201" s="29"/>
      <c r="AC201" s="30"/>
      <c r="AD201" s="68"/>
      <c r="AE201" s="71"/>
      <c r="AF201" s="71"/>
      <c r="AG201" s="71"/>
      <c r="AH201" s="69"/>
      <c r="AI201" s="69"/>
    </row>
    <row r="202" ht="19.5" customHeight="1">
      <c r="A202" s="20">
        <v>201.0</v>
      </c>
      <c r="B202" s="20">
        <f t="shared" si="1"/>
        <v>201</v>
      </c>
      <c r="C202" s="21" t="s">
        <v>245</v>
      </c>
      <c r="D202" s="20" t="s">
        <v>444</v>
      </c>
      <c r="E202" s="21" t="s">
        <v>45</v>
      </c>
      <c r="F202" s="21" t="s">
        <v>47</v>
      </c>
      <c r="G202" s="21" t="s">
        <v>663</v>
      </c>
      <c r="H202" s="22" t="s">
        <v>664</v>
      </c>
      <c r="I202" s="20" t="s">
        <v>447</v>
      </c>
      <c r="J202" s="66">
        <v>46305.0</v>
      </c>
      <c r="K202" s="66">
        <v>46306.0</v>
      </c>
      <c r="L202" s="67"/>
      <c r="M202" s="67"/>
      <c r="N202" s="21" t="s">
        <v>665</v>
      </c>
      <c r="O202" s="20" t="s">
        <v>54</v>
      </c>
      <c r="P202" s="20" t="s">
        <v>85</v>
      </c>
      <c r="Q202" s="20" t="s">
        <v>251</v>
      </c>
      <c r="R202" s="68"/>
      <c r="S202" s="28">
        <v>46264.0</v>
      </c>
      <c r="T202" s="68"/>
      <c r="U202" s="69"/>
      <c r="V202" s="20" t="s">
        <v>54</v>
      </c>
      <c r="W202" s="70"/>
      <c r="X202" s="21" t="s">
        <v>56</v>
      </c>
      <c r="Y202" s="20" t="s">
        <v>82</v>
      </c>
      <c r="Z202" s="68"/>
      <c r="AA202" s="29"/>
      <c r="AB202" s="29"/>
      <c r="AC202" s="30"/>
      <c r="AD202" s="68"/>
      <c r="AE202" s="71"/>
      <c r="AF202" s="71"/>
      <c r="AG202" s="71"/>
      <c r="AH202" s="69"/>
      <c r="AI202" s="69"/>
    </row>
    <row r="203" ht="19.5" customHeight="1">
      <c r="A203" s="20">
        <v>202.0</v>
      </c>
      <c r="B203" s="20">
        <f t="shared" si="1"/>
        <v>202</v>
      </c>
      <c r="C203" s="21" t="s">
        <v>245</v>
      </c>
      <c r="D203" s="20" t="s">
        <v>444</v>
      </c>
      <c r="E203" s="21" t="s">
        <v>45</v>
      </c>
      <c r="F203" s="21" t="s">
        <v>47</v>
      </c>
      <c r="G203" s="21" t="s">
        <v>666</v>
      </c>
      <c r="H203" s="22" t="s">
        <v>667</v>
      </c>
      <c r="I203" s="20" t="s">
        <v>447</v>
      </c>
      <c r="J203" s="66">
        <v>46302.0</v>
      </c>
      <c r="K203" s="66">
        <v>46303.0</v>
      </c>
      <c r="L203" s="67"/>
      <c r="M203" s="67"/>
      <c r="N203" s="21" t="s">
        <v>668</v>
      </c>
      <c r="O203" s="20" t="s">
        <v>54</v>
      </c>
      <c r="P203" s="20" t="s">
        <v>76</v>
      </c>
      <c r="Q203" s="20" t="s">
        <v>251</v>
      </c>
      <c r="R203" s="68"/>
      <c r="S203" s="28">
        <v>46264.0</v>
      </c>
      <c r="T203" s="68"/>
      <c r="U203" s="69"/>
      <c r="V203" s="20" t="s">
        <v>54</v>
      </c>
      <c r="W203" s="70"/>
      <c r="X203" s="21" t="s">
        <v>56</v>
      </c>
      <c r="Y203" s="20" t="s">
        <v>54</v>
      </c>
      <c r="Z203" s="68"/>
      <c r="AA203" s="29"/>
      <c r="AB203" s="29"/>
      <c r="AC203" s="30"/>
      <c r="AD203" s="68"/>
      <c r="AE203" s="71"/>
      <c r="AF203" s="71"/>
      <c r="AG203" s="71"/>
      <c r="AH203" s="69"/>
      <c r="AI203" s="69"/>
    </row>
    <row r="204" ht="19.5" customHeight="1">
      <c r="A204" s="20">
        <v>203.0</v>
      </c>
      <c r="B204" s="20">
        <f t="shared" si="1"/>
        <v>203</v>
      </c>
      <c r="C204" s="21" t="s">
        <v>245</v>
      </c>
      <c r="D204" s="20" t="s">
        <v>444</v>
      </c>
      <c r="E204" s="21" t="s">
        <v>45</v>
      </c>
      <c r="F204" s="21" t="s">
        <v>47</v>
      </c>
      <c r="G204" s="21" t="s">
        <v>669</v>
      </c>
      <c r="H204" s="22" t="s">
        <v>420</v>
      </c>
      <c r="I204" s="20" t="s">
        <v>447</v>
      </c>
      <c r="J204" s="66">
        <v>46309.0</v>
      </c>
      <c r="K204" s="66">
        <v>46310.0</v>
      </c>
      <c r="L204" s="67"/>
      <c r="M204" s="67"/>
      <c r="N204" s="21" t="s">
        <v>670</v>
      </c>
      <c r="O204" s="20" t="s">
        <v>54</v>
      </c>
      <c r="P204" s="20" t="s">
        <v>76</v>
      </c>
      <c r="Q204" s="20" t="s">
        <v>251</v>
      </c>
      <c r="R204" s="68"/>
      <c r="S204" s="28">
        <v>46264.0</v>
      </c>
      <c r="T204" s="68"/>
      <c r="U204" s="69"/>
      <c r="V204" s="20" t="s">
        <v>54</v>
      </c>
      <c r="W204" s="70"/>
      <c r="X204" s="21" t="s">
        <v>56</v>
      </c>
      <c r="Y204" s="72" t="s">
        <v>671</v>
      </c>
      <c r="Z204" s="20" t="s">
        <v>54</v>
      </c>
      <c r="AA204" s="29"/>
      <c r="AB204" s="29"/>
      <c r="AC204" s="30"/>
      <c r="AD204" s="68"/>
      <c r="AE204" s="71"/>
      <c r="AF204" s="71"/>
      <c r="AG204" s="71"/>
      <c r="AH204" s="69"/>
      <c r="AI204" s="69"/>
    </row>
    <row r="205" ht="19.5" customHeight="1">
      <c r="A205" s="20">
        <v>204.0</v>
      </c>
      <c r="B205" s="20">
        <f t="shared" si="1"/>
        <v>204</v>
      </c>
      <c r="C205" s="21" t="s">
        <v>245</v>
      </c>
      <c r="D205" s="20" t="s">
        <v>444</v>
      </c>
      <c r="E205" s="21" t="s">
        <v>45</v>
      </c>
      <c r="F205" s="21" t="s">
        <v>47</v>
      </c>
      <c r="G205" s="21" t="s">
        <v>672</v>
      </c>
      <c r="H205" s="22" t="s">
        <v>423</v>
      </c>
      <c r="I205" s="20" t="s">
        <v>447</v>
      </c>
      <c r="J205" s="66">
        <v>46311.0</v>
      </c>
      <c r="K205" s="66">
        <v>46312.0</v>
      </c>
      <c r="L205" s="67"/>
      <c r="M205" s="67"/>
      <c r="N205" s="21" t="s">
        <v>673</v>
      </c>
      <c r="O205" s="20" t="s">
        <v>54</v>
      </c>
      <c r="P205" s="20" t="s">
        <v>76</v>
      </c>
      <c r="Q205" s="20" t="s">
        <v>251</v>
      </c>
      <c r="R205" s="68"/>
      <c r="S205" s="28">
        <v>46264.0</v>
      </c>
      <c r="T205" s="68"/>
      <c r="U205" s="69"/>
      <c r="V205" s="20" t="s">
        <v>54</v>
      </c>
      <c r="W205" s="70"/>
      <c r="X205" s="21" t="s">
        <v>56</v>
      </c>
      <c r="Y205" s="72" t="s">
        <v>674</v>
      </c>
      <c r="Z205" s="20" t="s">
        <v>54</v>
      </c>
      <c r="AA205" s="29"/>
      <c r="AB205" s="29"/>
      <c r="AC205" s="30"/>
      <c r="AD205" s="68"/>
      <c r="AE205" s="71"/>
      <c r="AF205" s="71"/>
      <c r="AG205" s="71"/>
      <c r="AH205" s="69"/>
      <c r="AI205" s="69"/>
    </row>
    <row r="206" ht="19.5" customHeight="1">
      <c r="A206" s="20">
        <v>205.0</v>
      </c>
      <c r="B206" s="20">
        <f t="shared" si="1"/>
        <v>205</v>
      </c>
      <c r="C206" s="21" t="s">
        <v>245</v>
      </c>
      <c r="D206" s="20" t="s">
        <v>444</v>
      </c>
      <c r="E206" s="21" t="s">
        <v>45</v>
      </c>
      <c r="F206" s="21" t="s">
        <v>47</v>
      </c>
      <c r="G206" s="21" t="s">
        <v>675</v>
      </c>
      <c r="H206" s="22" t="s">
        <v>426</v>
      </c>
      <c r="I206" s="20" t="s">
        <v>447</v>
      </c>
      <c r="J206" s="66">
        <v>46313.0</v>
      </c>
      <c r="K206" s="66">
        <v>46316.0</v>
      </c>
      <c r="L206" s="67"/>
      <c r="M206" s="67"/>
      <c r="N206" s="21" t="s">
        <v>676</v>
      </c>
      <c r="O206" s="20" t="s">
        <v>54</v>
      </c>
      <c r="P206" s="20" t="s">
        <v>76</v>
      </c>
      <c r="Q206" s="20" t="s">
        <v>251</v>
      </c>
      <c r="R206" s="68"/>
      <c r="S206" s="28">
        <v>46264.0</v>
      </c>
      <c r="T206" s="68"/>
      <c r="U206" s="69"/>
      <c r="V206" s="20" t="s">
        <v>54</v>
      </c>
      <c r="W206" s="70"/>
      <c r="X206" s="21" t="s">
        <v>56</v>
      </c>
      <c r="Y206" s="72" t="s">
        <v>677</v>
      </c>
      <c r="Z206" s="20" t="s">
        <v>54</v>
      </c>
      <c r="AA206" s="29"/>
      <c r="AB206" s="29"/>
      <c r="AC206" s="30"/>
      <c r="AD206" s="68"/>
      <c r="AE206" s="71"/>
      <c r="AF206" s="71"/>
      <c r="AG206" s="71"/>
      <c r="AH206" s="69"/>
      <c r="AI206" s="69"/>
    </row>
    <row r="207" ht="19.5" customHeight="1">
      <c r="A207" s="20">
        <v>206.0</v>
      </c>
      <c r="B207" s="20">
        <f t="shared" si="1"/>
        <v>206</v>
      </c>
      <c r="C207" s="21" t="s">
        <v>245</v>
      </c>
      <c r="D207" s="20" t="s">
        <v>444</v>
      </c>
      <c r="E207" s="21" t="s">
        <v>45</v>
      </c>
      <c r="F207" s="21" t="s">
        <v>47</v>
      </c>
      <c r="G207" s="21" t="s">
        <v>678</v>
      </c>
      <c r="H207" s="22" t="s">
        <v>429</v>
      </c>
      <c r="I207" s="20" t="s">
        <v>447</v>
      </c>
      <c r="J207" s="66">
        <v>46317.0</v>
      </c>
      <c r="K207" s="66">
        <v>46318.0</v>
      </c>
      <c r="L207" s="67"/>
      <c r="M207" s="67"/>
      <c r="N207" s="21" t="s">
        <v>679</v>
      </c>
      <c r="O207" s="20" t="s">
        <v>54</v>
      </c>
      <c r="P207" s="20" t="s">
        <v>76</v>
      </c>
      <c r="Q207" s="20" t="s">
        <v>251</v>
      </c>
      <c r="R207" s="68"/>
      <c r="S207" s="28">
        <v>46264.0</v>
      </c>
      <c r="T207" s="68"/>
      <c r="U207" s="69"/>
      <c r="V207" s="20" t="s">
        <v>54</v>
      </c>
      <c r="W207" s="70"/>
      <c r="X207" s="21" t="s">
        <v>56</v>
      </c>
      <c r="Y207" s="72" t="s">
        <v>680</v>
      </c>
      <c r="Z207" s="20" t="s">
        <v>54</v>
      </c>
      <c r="AA207" s="29"/>
      <c r="AB207" s="29"/>
      <c r="AC207" s="30"/>
      <c r="AD207" s="68"/>
      <c r="AE207" s="71"/>
      <c r="AF207" s="71"/>
      <c r="AG207" s="71"/>
      <c r="AH207" s="69"/>
      <c r="AI207" s="69"/>
    </row>
    <row r="208" ht="19.5" customHeight="1">
      <c r="A208" s="20">
        <v>207.0</v>
      </c>
      <c r="B208" s="20">
        <f t="shared" si="1"/>
        <v>207</v>
      </c>
      <c r="C208" s="21" t="s">
        <v>245</v>
      </c>
      <c r="D208" s="20" t="s">
        <v>444</v>
      </c>
      <c r="E208" s="21" t="s">
        <v>45</v>
      </c>
      <c r="F208" s="21" t="s">
        <v>47</v>
      </c>
      <c r="G208" s="21" t="s">
        <v>681</v>
      </c>
      <c r="H208" s="22" t="s">
        <v>432</v>
      </c>
      <c r="I208" s="20" t="s">
        <v>447</v>
      </c>
      <c r="J208" s="66">
        <v>46319.0</v>
      </c>
      <c r="K208" s="66">
        <v>46320.0</v>
      </c>
      <c r="L208" s="67"/>
      <c r="M208" s="67"/>
      <c r="N208" s="21" t="s">
        <v>682</v>
      </c>
      <c r="O208" s="20" t="s">
        <v>54</v>
      </c>
      <c r="P208" s="20" t="s">
        <v>76</v>
      </c>
      <c r="Q208" s="20" t="s">
        <v>251</v>
      </c>
      <c r="R208" s="68"/>
      <c r="S208" s="28">
        <v>46264.0</v>
      </c>
      <c r="T208" s="68"/>
      <c r="U208" s="69"/>
      <c r="V208" s="20" t="s">
        <v>54</v>
      </c>
      <c r="W208" s="70"/>
      <c r="X208" s="21" t="s">
        <v>56</v>
      </c>
      <c r="Y208" s="72" t="s">
        <v>683</v>
      </c>
      <c r="Z208" s="20" t="s">
        <v>54</v>
      </c>
      <c r="AA208" s="29"/>
      <c r="AB208" s="29"/>
      <c r="AC208" s="30"/>
      <c r="AD208" s="68"/>
      <c r="AE208" s="71"/>
      <c r="AF208" s="71"/>
      <c r="AG208" s="71"/>
      <c r="AH208" s="69"/>
      <c r="AI208" s="69"/>
    </row>
    <row r="209" ht="19.5" customHeight="1">
      <c r="A209" s="20">
        <v>208.0</v>
      </c>
      <c r="B209" s="20">
        <f t="shared" si="1"/>
        <v>208</v>
      </c>
      <c r="C209" s="21" t="s">
        <v>245</v>
      </c>
      <c r="D209" s="20" t="s">
        <v>444</v>
      </c>
      <c r="E209" s="21" t="s">
        <v>45</v>
      </c>
      <c r="F209" s="21" t="s">
        <v>47</v>
      </c>
      <c r="G209" s="21" t="s">
        <v>684</v>
      </c>
      <c r="H209" s="22" t="s">
        <v>435</v>
      </c>
      <c r="I209" s="20" t="s">
        <v>447</v>
      </c>
      <c r="J209" s="66">
        <v>46323.0</v>
      </c>
      <c r="K209" s="66">
        <v>46324.0</v>
      </c>
      <c r="L209" s="67"/>
      <c r="M209" s="67"/>
      <c r="N209" s="21" t="s">
        <v>685</v>
      </c>
      <c r="O209" s="20" t="s">
        <v>54</v>
      </c>
      <c r="P209" s="20" t="s">
        <v>76</v>
      </c>
      <c r="Q209" s="20" t="s">
        <v>251</v>
      </c>
      <c r="R209" s="68"/>
      <c r="S209" s="28">
        <v>46264.0</v>
      </c>
      <c r="T209" s="68"/>
      <c r="U209" s="69"/>
      <c r="V209" s="20" t="s">
        <v>54</v>
      </c>
      <c r="W209" s="70"/>
      <c r="X209" s="21" t="s">
        <v>56</v>
      </c>
      <c r="Y209" s="72" t="s">
        <v>686</v>
      </c>
      <c r="Z209" s="20" t="s">
        <v>54</v>
      </c>
      <c r="AA209" s="29"/>
      <c r="AB209" s="29"/>
      <c r="AC209" s="30"/>
      <c r="AD209" s="68"/>
      <c r="AE209" s="71"/>
      <c r="AF209" s="71"/>
      <c r="AG209" s="71"/>
      <c r="AH209" s="69"/>
      <c r="AI209" s="69"/>
    </row>
    <row r="210" ht="19.5" customHeight="1">
      <c r="A210" s="20">
        <v>209.0</v>
      </c>
      <c r="B210" s="20">
        <f t="shared" si="1"/>
        <v>209</v>
      </c>
      <c r="C210" s="21" t="s">
        <v>245</v>
      </c>
      <c r="D210" s="20" t="s">
        <v>444</v>
      </c>
      <c r="E210" s="21" t="s">
        <v>45</v>
      </c>
      <c r="F210" s="21" t="s">
        <v>47</v>
      </c>
      <c r="G210" s="21" t="s">
        <v>687</v>
      </c>
      <c r="H210" s="22" t="s">
        <v>439</v>
      </c>
      <c r="I210" s="20" t="s">
        <v>447</v>
      </c>
      <c r="J210" s="66">
        <v>46325.0</v>
      </c>
      <c r="K210" s="66">
        <v>46326.0</v>
      </c>
      <c r="L210" s="67"/>
      <c r="M210" s="67"/>
      <c r="N210" s="21" t="s">
        <v>688</v>
      </c>
      <c r="O210" s="20" t="s">
        <v>54</v>
      </c>
      <c r="P210" s="20" t="s">
        <v>76</v>
      </c>
      <c r="Q210" s="20" t="s">
        <v>251</v>
      </c>
      <c r="R210" s="68"/>
      <c r="S210" s="28">
        <v>46264.0</v>
      </c>
      <c r="T210" s="68"/>
      <c r="U210" s="69"/>
      <c r="V210" s="20" t="s">
        <v>54</v>
      </c>
      <c r="W210" s="70"/>
      <c r="X210" s="21" t="s">
        <v>56</v>
      </c>
      <c r="Y210" s="72" t="s">
        <v>689</v>
      </c>
      <c r="Z210" s="20" t="s">
        <v>54</v>
      </c>
      <c r="AA210" s="29"/>
      <c r="AB210" s="29"/>
      <c r="AC210" s="30"/>
      <c r="AD210" s="68"/>
      <c r="AE210" s="71"/>
      <c r="AF210" s="71"/>
      <c r="AG210" s="71"/>
      <c r="AH210" s="69"/>
      <c r="AI210" s="69"/>
    </row>
    <row r="211" ht="19.5" customHeight="1">
      <c r="A211" s="20">
        <v>210.0</v>
      </c>
      <c r="B211" s="20">
        <f t="shared" si="1"/>
        <v>210</v>
      </c>
      <c r="C211" s="21" t="s">
        <v>245</v>
      </c>
      <c r="D211" s="20" t="s">
        <v>690</v>
      </c>
      <c r="E211" s="21" t="s">
        <v>45</v>
      </c>
      <c r="F211" s="21" t="s">
        <v>47</v>
      </c>
      <c r="G211" s="21" t="s">
        <v>691</v>
      </c>
      <c r="H211" s="22" t="s">
        <v>692</v>
      </c>
      <c r="I211" s="20" t="s">
        <v>457</v>
      </c>
      <c r="J211" s="66">
        <v>46369.0</v>
      </c>
      <c r="K211" s="66">
        <v>46372.0</v>
      </c>
      <c r="L211" s="67"/>
      <c r="M211" s="67"/>
      <c r="N211" s="21" t="s">
        <v>693</v>
      </c>
      <c r="O211" s="20" t="s">
        <v>54</v>
      </c>
      <c r="P211" s="20" t="s">
        <v>85</v>
      </c>
      <c r="Q211" s="20" t="s">
        <v>251</v>
      </c>
      <c r="R211" s="68"/>
      <c r="S211" s="28">
        <v>46264.0</v>
      </c>
      <c r="T211" s="68"/>
      <c r="U211" s="69"/>
      <c r="V211" s="20" t="s">
        <v>54</v>
      </c>
      <c r="W211" s="70"/>
      <c r="X211" s="21" t="s">
        <v>56</v>
      </c>
      <c r="Y211" s="20" t="s">
        <v>54</v>
      </c>
      <c r="Z211" s="68"/>
      <c r="AA211" s="29"/>
      <c r="AB211" s="29"/>
      <c r="AC211" s="30"/>
      <c r="AD211" s="68"/>
      <c r="AE211" s="71"/>
      <c r="AF211" s="71"/>
      <c r="AG211" s="71"/>
      <c r="AH211" s="69"/>
      <c r="AI211" s="69"/>
    </row>
    <row r="212" ht="19.5" customHeight="1">
      <c r="A212" s="20">
        <v>211.0</v>
      </c>
      <c r="B212" s="20">
        <f t="shared" si="1"/>
        <v>211</v>
      </c>
      <c r="C212" s="21" t="s">
        <v>245</v>
      </c>
      <c r="D212" s="20" t="s">
        <v>690</v>
      </c>
      <c r="E212" s="21" t="s">
        <v>45</v>
      </c>
      <c r="F212" s="21" t="s">
        <v>47</v>
      </c>
      <c r="G212" s="21" t="s">
        <v>694</v>
      </c>
      <c r="H212" s="22" t="s">
        <v>695</v>
      </c>
      <c r="I212" s="20" t="s">
        <v>457</v>
      </c>
      <c r="J212" s="66">
        <v>46373.0</v>
      </c>
      <c r="K212" s="66">
        <v>46374.0</v>
      </c>
      <c r="L212" s="67"/>
      <c r="M212" s="67"/>
      <c r="N212" s="21" t="s">
        <v>696</v>
      </c>
      <c r="O212" s="20" t="s">
        <v>54</v>
      </c>
      <c r="P212" s="20" t="s">
        <v>85</v>
      </c>
      <c r="Q212" s="20" t="s">
        <v>251</v>
      </c>
      <c r="R212" s="68"/>
      <c r="S212" s="28">
        <v>46264.0</v>
      </c>
      <c r="T212" s="68"/>
      <c r="U212" s="69"/>
      <c r="V212" s="20" t="s">
        <v>54</v>
      </c>
      <c r="W212" s="70"/>
      <c r="X212" s="21" t="s">
        <v>56</v>
      </c>
      <c r="Y212" s="20" t="s">
        <v>54</v>
      </c>
      <c r="Z212" s="68"/>
      <c r="AA212" s="29"/>
      <c r="AB212" s="29"/>
      <c r="AC212" s="30"/>
      <c r="AD212" s="68"/>
      <c r="AE212" s="71"/>
      <c r="AF212" s="71"/>
      <c r="AG212" s="71"/>
      <c r="AH212" s="69"/>
      <c r="AI212" s="69"/>
    </row>
    <row r="213" ht="19.5" customHeight="1">
      <c r="A213" s="20">
        <v>212.0</v>
      </c>
      <c r="B213" s="20">
        <f t="shared" si="1"/>
        <v>212</v>
      </c>
      <c r="C213" s="21" t="s">
        <v>245</v>
      </c>
      <c r="D213" s="20" t="s">
        <v>690</v>
      </c>
      <c r="E213" s="21" t="s">
        <v>45</v>
      </c>
      <c r="F213" s="21" t="s">
        <v>47</v>
      </c>
      <c r="G213" s="21" t="s">
        <v>697</v>
      </c>
      <c r="H213" s="22" t="s">
        <v>698</v>
      </c>
      <c r="I213" s="20" t="s">
        <v>457</v>
      </c>
      <c r="J213" s="66">
        <v>46375.0</v>
      </c>
      <c r="K213" s="66">
        <v>46376.0</v>
      </c>
      <c r="L213" s="67"/>
      <c r="M213" s="67"/>
      <c r="N213" s="21" t="s">
        <v>699</v>
      </c>
      <c r="O213" s="20" t="s">
        <v>54</v>
      </c>
      <c r="P213" s="20" t="s">
        <v>85</v>
      </c>
      <c r="Q213" s="20" t="s">
        <v>251</v>
      </c>
      <c r="R213" s="68"/>
      <c r="S213" s="28">
        <v>46264.0</v>
      </c>
      <c r="T213" s="68"/>
      <c r="U213" s="69"/>
      <c r="V213" s="20" t="s">
        <v>54</v>
      </c>
      <c r="W213" s="70"/>
      <c r="X213" s="21" t="s">
        <v>56</v>
      </c>
      <c r="Y213" s="20" t="s">
        <v>54</v>
      </c>
      <c r="Z213" s="68"/>
      <c r="AA213" s="29"/>
      <c r="AB213" s="29"/>
      <c r="AC213" s="30"/>
      <c r="AD213" s="68"/>
      <c r="AE213" s="71"/>
      <c r="AF213" s="71"/>
      <c r="AG213" s="71"/>
      <c r="AH213" s="69"/>
      <c r="AI213" s="69"/>
    </row>
    <row r="214" ht="19.5" customHeight="1">
      <c r="A214" s="20">
        <v>213.0</v>
      </c>
      <c r="B214" s="20">
        <f t="shared" si="1"/>
        <v>213</v>
      </c>
      <c r="C214" s="21" t="s">
        <v>245</v>
      </c>
      <c r="D214" s="20" t="s">
        <v>690</v>
      </c>
      <c r="E214" s="21" t="s">
        <v>45</v>
      </c>
      <c r="F214" s="21" t="s">
        <v>47</v>
      </c>
      <c r="G214" s="21" t="s">
        <v>700</v>
      </c>
      <c r="H214" s="22" t="s">
        <v>701</v>
      </c>
      <c r="I214" s="20" t="s">
        <v>457</v>
      </c>
      <c r="J214" s="66">
        <v>46379.0</v>
      </c>
      <c r="K214" s="66">
        <v>46380.0</v>
      </c>
      <c r="L214" s="67"/>
      <c r="M214" s="67"/>
      <c r="N214" s="21" t="s">
        <v>702</v>
      </c>
      <c r="O214" s="20" t="s">
        <v>54</v>
      </c>
      <c r="P214" s="20" t="s">
        <v>85</v>
      </c>
      <c r="Q214" s="20" t="s">
        <v>251</v>
      </c>
      <c r="R214" s="68"/>
      <c r="S214" s="28">
        <v>46264.0</v>
      </c>
      <c r="T214" s="68"/>
      <c r="U214" s="69"/>
      <c r="V214" s="20" t="s">
        <v>54</v>
      </c>
      <c r="W214" s="70"/>
      <c r="X214" s="21" t="s">
        <v>56</v>
      </c>
      <c r="Y214" s="20" t="s">
        <v>54</v>
      </c>
      <c r="Z214" s="68"/>
      <c r="AA214" s="29"/>
      <c r="AB214" s="29"/>
      <c r="AC214" s="30"/>
      <c r="AD214" s="68"/>
      <c r="AE214" s="71"/>
      <c r="AF214" s="71"/>
      <c r="AG214" s="71"/>
      <c r="AH214" s="69"/>
      <c r="AI214" s="69"/>
    </row>
    <row r="215" ht="19.5" customHeight="1">
      <c r="A215" s="20">
        <v>214.0</v>
      </c>
      <c r="B215" s="20">
        <f t="shared" si="1"/>
        <v>214</v>
      </c>
      <c r="C215" s="21" t="s">
        <v>245</v>
      </c>
      <c r="D215" s="20" t="s">
        <v>690</v>
      </c>
      <c r="E215" s="21" t="s">
        <v>45</v>
      </c>
      <c r="F215" s="21" t="s">
        <v>47</v>
      </c>
      <c r="G215" s="20" t="s">
        <v>703</v>
      </c>
      <c r="H215" s="22" t="s">
        <v>631</v>
      </c>
      <c r="I215" s="20" t="s">
        <v>457</v>
      </c>
      <c r="J215" s="66">
        <v>46319.0</v>
      </c>
      <c r="K215" s="66">
        <v>46320.0</v>
      </c>
      <c r="L215" s="67"/>
      <c r="M215" s="67"/>
      <c r="N215" s="20" t="s">
        <v>704</v>
      </c>
      <c r="O215" s="20" t="s">
        <v>54</v>
      </c>
      <c r="P215" s="20" t="s">
        <v>85</v>
      </c>
      <c r="Q215" s="20" t="s">
        <v>251</v>
      </c>
      <c r="R215" s="68"/>
      <c r="S215" s="28">
        <v>46264.0</v>
      </c>
      <c r="T215" s="68"/>
      <c r="U215" s="69"/>
      <c r="V215" s="20" t="s">
        <v>54</v>
      </c>
      <c r="W215" s="70"/>
      <c r="X215" s="21" t="s">
        <v>56</v>
      </c>
      <c r="Y215" s="20" t="s">
        <v>82</v>
      </c>
      <c r="Z215" s="68"/>
      <c r="AA215" s="29"/>
      <c r="AB215" s="29"/>
      <c r="AC215" s="30"/>
      <c r="AD215" s="68"/>
      <c r="AE215" s="71"/>
      <c r="AF215" s="71"/>
      <c r="AG215" s="71"/>
      <c r="AH215" s="69"/>
      <c r="AI215" s="69"/>
    </row>
    <row r="216" ht="19.5" customHeight="1">
      <c r="A216" s="20">
        <v>215.0</v>
      </c>
      <c r="B216" s="20">
        <f t="shared" si="1"/>
        <v>215</v>
      </c>
      <c r="C216" s="21" t="s">
        <v>245</v>
      </c>
      <c r="D216" s="20" t="s">
        <v>690</v>
      </c>
      <c r="E216" s="21" t="s">
        <v>45</v>
      </c>
      <c r="F216" s="21" t="s">
        <v>47</v>
      </c>
      <c r="G216" s="20" t="s">
        <v>705</v>
      </c>
      <c r="H216" s="22" t="s">
        <v>634</v>
      </c>
      <c r="I216" s="20" t="s">
        <v>457</v>
      </c>
      <c r="J216" s="66">
        <v>46323.0</v>
      </c>
      <c r="K216" s="66">
        <v>46324.0</v>
      </c>
      <c r="L216" s="67"/>
      <c r="M216" s="67"/>
      <c r="N216" s="20" t="s">
        <v>706</v>
      </c>
      <c r="O216" s="20" t="s">
        <v>54</v>
      </c>
      <c r="P216" s="20" t="s">
        <v>85</v>
      </c>
      <c r="Q216" s="20" t="s">
        <v>251</v>
      </c>
      <c r="R216" s="68"/>
      <c r="S216" s="28">
        <v>46264.0</v>
      </c>
      <c r="T216" s="68"/>
      <c r="U216" s="69"/>
      <c r="V216" s="20" t="s">
        <v>54</v>
      </c>
      <c r="W216" s="70"/>
      <c r="X216" s="21" t="s">
        <v>56</v>
      </c>
      <c r="Y216" s="20" t="s">
        <v>82</v>
      </c>
      <c r="Z216" s="68"/>
      <c r="AA216" s="29"/>
      <c r="AB216" s="29"/>
      <c r="AC216" s="30"/>
      <c r="AD216" s="68"/>
      <c r="AE216" s="71"/>
      <c r="AF216" s="71"/>
      <c r="AG216" s="71"/>
      <c r="AH216" s="69"/>
      <c r="AI216" s="69"/>
    </row>
    <row r="217" ht="19.5" customHeight="1">
      <c r="A217" s="20">
        <v>216.0</v>
      </c>
      <c r="B217" s="20">
        <f t="shared" si="1"/>
        <v>216</v>
      </c>
      <c r="C217" s="21" t="s">
        <v>245</v>
      </c>
      <c r="D217" s="20" t="s">
        <v>690</v>
      </c>
      <c r="E217" s="21" t="s">
        <v>45</v>
      </c>
      <c r="F217" s="21" t="s">
        <v>47</v>
      </c>
      <c r="G217" s="20" t="s">
        <v>707</v>
      </c>
      <c r="H217" s="22" t="s">
        <v>637</v>
      </c>
      <c r="I217" s="20" t="s">
        <v>457</v>
      </c>
      <c r="J217" s="66">
        <v>46325.0</v>
      </c>
      <c r="K217" s="66">
        <v>46326.0</v>
      </c>
      <c r="L217" s="67"/>
      <c r="M217" s="67"/>
      <c r="N217" s="20" t="s">
        <v>708</v>
      </c>
      <c r="O217" s="20" t="s">
        <v>54</v>
      </c>
      <c r="P217" s="20" t="s">
        <v>85</v>
      </c>
      <c r="Q217" s="20" t="s">
        <v>251</v>
      </c>
      <c r="R217" s="68"/>
      <c r="S217" s="28">
        <v>46264.0</v>
      </c>
      <c r="T217" s="68"/>
      <c r="U217" s="69"/>
      <c r="V217" s="20" t="s">
        <v>54</v>
      </c>
      <c r="W217" s="70"/>
      <c r="X217" s="21" t="s">
        <v>56</v>
      </c>
      <c r="Y217" s="20" t="s">
        <v>82</v>
      </c>
      <c r="Z217" s="68"/>
      <c r="AA217" s="29"/>
      <c r="AB217" s="29"/>
      <c r="AC217" s="30"/>
      <c r="AD217" s="68"/>
      <c r="AE217" s="71"/>
      <c r="AF217" s="71"/>
      <c r="AG217" s="71"/>
      <c r="AH217" s="69"/>
      <c r="AI217" s="69"/>
    </row>
    <row r="218" ht="19.5" customHeight="1">
      <c r="A218" s="20">
        <v>217.0</v>
      </c>
      <c r="B218" s="20">
        <f t="shared" si="1"/>
        <v>217</v>
      </c>
      <c r="C218" s="21" t="s">
        <v>245</v>
      </c>
      <c r="D218" s="20" t="s">
        <v>690</v>
      </c>
      <c r="E218" s="21" t="s">
        <v>45</v>
      </c>
      <c r="F218" s="21" t="s">
        <v>47</v>
      </c>
      <c r="G218" s="20" t="s">
        <v>709</v>
      </c>
      <c r="H218" s="22" t="s">
        <v>640</v>
      </c>
      <c r="I218" s="20" t="s">
        <v>457</v>
      </c>
      <c r="J218" s="66">
        <v>46327.0</v>
      </c>
      <c r="K218" s="66">
        <v>46330.0</v>
      </c>
      <c r="L218" s="67"/>
      <c r="M218" s="67"/>
      <c r="N218" s="20" t="s">
        <v>710</v>
      </c>
      <c r="O218" s="20" t="s">
        <v>54</v>
      </c>
      <c r="P218" s="20" t="s">
        <v>85</v>
      </c>
      <c r="Q218" s="20" t="s">
        <v>251</v>
      </c>
      <c r="R218" s="68"/>
      <c r="S218" s="28">
        <v>46264.0</v>
      </c>
      <c r="T218" s="68"/>
      <c r="U218" s="69"/>
      <c r="V218" s="20" t="s">
        <v>54</v>
      </c>
      <c r="W218" s="70"/>
      <c r="X218" s="21" t="s">
        <v>56</v>
      </c>
      <c r="Y218" s="20" t="s">
        <v>82</v>
      </c>
      <c r="Z218" s="68"/>
      <c r="AA218" s="29"/>
      <c r="AB218" s="29"/>
      <c r="AC218" s="30"/>
      <c r="AD218" s="68"/>
      <c r="AE218" s="71"/>
      <c r="AF218" s="71"/>
      <c r="AG218" s="71"/>
      <c r="AH218" s="69"/>
      <c r="AI218" s="69"/>
    </row>
    <row r="219" ht="19.5" customHeight="1">
      <c r="A219" s="20">
        <v>218.0</v>
      </c>
      <c r="B219" s="20">
        <f t="shared" si="1"/>
        <v>218</v>
      </c>
      <c r="C219" s="21" t="s">
        <v>245</v>
      </c>
      <c r="D219" s="20" t="s">
        <v>690</v>
      </c>
      <c r="E219" s="21" t="s">
        <v>45</v>
      </c>
      <c r="F219" s="21" t="s">
        <v>47</v>
      </c>
      <c r="G219" s="20" t="s">
        <v>711</v>
      </c>
      <c r="H219" s="22" t="s">
        <v>643</v>
      </c>
      <c r="I219" s="20" t="s">
        <v>457</v>
      </c>
      <c r="J219" s="66">
        <v>46331.0</v>
      </c>
      <c r="K219" s="66">
        <v>46332.0</v>
      </c>
      <c r="L219" s="67"/>
      <c r="M219" s="67"/>
      <c r="N219" s="20" t="s">
        <v>712</v>
      </c>
      <c r="O219" s="20" t="s">
        <v>54</v>
      </c>
      <c r="P219" s="20" t="s">
        <v>85</v>
      </c>
      <c r="Q219" s="20" t="s">
        <v>251</v>
      </c>
      <c r="R219" s="68"/>
      <c r="S219" s="28">
        <v>46264.0</v>
      </c>
      <c r="T219" s="68"/>
      <c r="U219" s="69"/>
      <c r="V219" s="20" t="s">
        <v>54</v>
      </c>
      <c r="W219" s="70"/>
      <c r="X219" s="21" t="s">
        <v>56</v>
      </c>
      <c r="Y219" s="20" t="s">
        <v>82</v>
      </c>
      <c r="Z219" s="68"/>
      <c r="AA219" s="29"/>
      <c r="AB219" s="29"/>
      <c r="AC219" s="30"/>
      <c r="AD219" s="68"/>
      <c r="AE219" s="71"/>
      <c r="AF219" s="71"/>
      <c r="AG219" s="71"/>
      <c r="AH219" s="69"/>
      <c r="AI219" s="69"/>
    </row>
    <row r="220" ht="19.5" customHeight="1">
      <c r="A220" s="20">
        <v>219.0</v>
      </c>
      <c r="B220" s="20">
        <f t="shared" si="1"/>
        <v>219</v>
      </c>
      <c r="C220" s="21" t="s">
        <v>245</v>
      </c>
      <c r="D220" s="20" t="s">
        <v>690</v>
      </c>
      <c r="E220" s="21" t="s">
        <v>45</v>
      </c>
      <c r="F220" s="21" t="s">
        <v>47</v>
      </c>
      <c r="G220" s="20" t="s">
        <v>713</v>
      </c>
      <c r="H220" s="22" t="s">
        <v>646</v>
      </c>
      <c r="I220" s="20" t="s">
        <v>457</v>
      </c>
      <c r="J220" s="66">
        <v>46333.0</v>
      </c>
      <c r="K220" s="66">
        <v>46334.0</v>
      </c>
      <c r="L220" s="67"/>
      <c r="M220" s="67"/>
      <c r="N220" s="20" t="s">
        <v>714</v>
      </c>
      <c r="O220" s="20" t="s">
        <v>54</v>
      </c>
      <c r="P220" s="20" t="s">
        <v>85</v>
      </c>
      <c r="Q220" s="20" t="s">
        <v>251</v>
      </c>
      <c r="R220" s="68"/>
      <c r="S220" s="28">
        <v>46264.0</v>
      </c>
      <c r="T220" s="68"/>
      <c r="U220" s="69"/>
      <c r="V220" s="20" t="s">
        <v>54</v>
      </c>
      <c r="W220" s="70"/>
      <c r="X220" s="21" t="s">
        <v>56</v>
      </c>
      <c r="Y220" s="20" t="s">
        <v>82</v>
      </c>
      <c r="Z220" s="68"/>
      <c r="AA220" s="29"/>
      <c r="AB220" s="29"/>
      <c r="AC220" s="30"/>
      <c r="AD220" s="68"/>
      <c r="AE220" s="71"/>
      <c r="AF220" s="71"/>
      <c r="AG220" s="71"/>
      <c r="AH220" s="69"/>
      <c r="AI220" s="69"/>
    </row>
    <row r="221" ht="19.5" customHeight="1">
      <c r="A221" s="20">
        <v>220.0</v>
      </c>
      <c r="B221" s="20">
        <f t="shared" si="1"/>
        <v>220</v>
      </c>
      <c r="C221" s="21" t="s">
        <v>245</v>
      </c>
      <c r="D221" s="20" t="s">
        <v>690</v>
      </c>
      <c r="E221" s="21" t="s">
        <v>45</v>
      </c>
      <c r="F221" s="21" t="s">
        <v>47</v>
      </c>
      <c r="G221" s="21" t="s">
        <v>715</v>
      </c>
      <c r="H221" s="22" t="s">
        <v>716</v>
      </c>
      <c r="I221" s="20" t="s">
        <v>354</v>
      </c>
      <c r="J221" s="66">
        <v>46373.0</v>
      </c>
      <c r="K221" s="66">
        <v>46374.0</v>
      </c>
      <c r="L221" s="67"/>
      <c r="M221" s="67"/>
      <c r="N221" s="21" t="s">
        <v>717</v>
      </c>
      <c r="O221" s="20" t="s">
        <v>54</v>
      </c>
      <c r="P221" s="20" t="s">
        <v>85</v>
      </c>
      <c r="Q221" s="20" t="s">
        <v>251</v>
      </c>
      <c r="R221" s="68"/>
      <c r="S221" s="28">
        <v>46264.0</v>
      </c>
      <c r="T221" s="68"/>
      <c r="U221" s="69"/>
      <c r="V221" s="20" t="s">
        <v>54</v>
      </c>
      <c r="W221" s="70"/>
      <c r="X221" s="21" t="s">
        <v>56</v>
      </c>
      <c r="Y221" s="20" t="s">
        <v>54</v>
      </c>
      <c r="Z221" s="68"/>
      <c r="AA221" s="29"/>
      <c r="AB221" s="29"/>
      <c r="AC221" s="30"/>
      <c r="AD221" s="68"/>
      <c r="AE221" s="71"/>
      <c r="AF221" s="71"/>
      <c r="AG221" s="71"/>
      <c r="AH221" s="69"/>
      <c r="AI221" s="69"/>
    </row>
    <row r="222" ht="19.5" customHeight="1">
      <c r="A222" s="20">
        <v>221.0</v>
      </c>
      <c r="B222" s="20">
        <f t="shared" si="1"/>
        <v>221</v>
      </c>
      <c r="C222" s="21" t="s">
        <v>245</v>
      </c>
      <c r="D222" s="20" t="s">
        <v>690</v>
      </c>
      <c r="E222" s="21" t="s">
        <v>45</v>
      </c>
      <c r="F222" s="21" t="s">
        <v>47</v>
      </c>
      <c r="G222" s="21" t="s">
        <v>718</v>
      </c>
      <c r="H222" s="33" t="s">
        <v>719</v>
      </c>
      <c r="I222" s="20" t="s">
        <v>354</v>
      </c>
      <c r="J222" s="66">
        <v>46375.0</v>
      </c>
      <c r="K222" s="66">
        <v>46376.0</v>
      </c>
      <c r="L222" s="67"/>
      <c r="M222" s="67"/>
      <c r="N222" s="21" t="s">
        <v>720</v>
      </c>
      <c r="O222" s="20" t="s">
        <v>54</v>
      </c>
      <c r="P222" s="20" t="s">
        <v>85</v>
      </c>
      <c r="Q222" s="20" t="s">
        <v>251</v>
      </c>
      <c r="R222" s="68"/>
      <c r="S222" s="28">
        <v>46264.0</v>
      </c>
      <c r="T222" s="68"/>
      <c r="U222" s="69"/>
      <c r="V222" s="20" t="s">
        <v>54</v>
      </c>
      <c r="W222" s="70"/>
      <c r="X222" s="21" t="s">
        <v>56</v>
      </c>
      <c r="Y222" s="20" t="s">
        <v>54</v>
      </c>
      <c r="Z222" s="68"/>
      <c r="AA222" s="29"/>
      <c r="AB222" s="29"/>
      <c r="AC222" s="30"/>
      <c r="AD222" s="68"/>
      <c r="AE222" s="71"/>
      <c r="AF222" s="71"/>
      <c r="AG222" s="71"/>
      <c r="AH222" s="69"/>
      <c r="AI222" s="69"/>
    </row>
    <row r="223" ht="19.5" customHeight="1">
      <c r="A223" s="20">
        <v>222.0</v>
      </c>
      <c r="B223" s="20">
        <f t="shared" si="1"/>
        <v>222</v>
      </c>
      <c r="C223" s="21" t="s">
        <v>245</v>
      </c>
      <c r="D223" s="20" t="s">
        <v>690</v>
      </c>
      <c r="E223" s="21" t="s">
        <v>45</v>
      </c>
      <c r="F223" s="21" t="s">
        <v>47</v>
      </c>
      <c r="G223" s="21" t="s">
        <v>721</v>
      </c>
      <c r="H223" s="33" t="s">
        <v>722</v>
      </c>
      <c r="I223" s="20" t="s">
        <v>354</v>
      </c>
      <c r="J223" s="66">
        <v>46379.0</v>
      </c>
      <c r="K223" s="66">
        <v>46380.0</v>
      </c>
      <c r="L223" s="67"/>
      <c r="M223" s="67"/>
      <c r="N223" s="21" t="s">
        <v>723</v>
      </c>
      <c r="O223" s="20" t="s">
        <v>54</v>
      </c>
      <c r="P223" s="20" t="s">
        <v>85</v>
      </c>
      <c r="Q223" s="20" t="s">
        <v>251</v>
      </c>
      <c r="R223" s="68"/>
      <c r="S223" s="28">
        <v>46264.0</v>
      </c>
      <c r="T223" s="68"/>
      <c r="U223" s="69"/>
      <c r="V223" s="20" t="s">
        <v>54</v>
      </c>
      <c r="W223" s="70"/>
      <c r="X223" s="21" t="s">
        <v>56</v>
      </c>
      <c r="Y223" s="20" t="s">
        <v>54</v>
      </c>
      <c r="Z223" s="68"/>
      <c r="AA223" s="29"/>
      <c r="AB223" s="29"/>
      <c r="AC223" s="30"/>
      <c r="AD223" s="68"/>
      <c r="AE223" s="71"/>
      <c r="AF223" s="71"/>
      <c r="AG223" s="71"/>
      <c r="AH223" s="69"/>
      <c r="AI223" s="69"/>
    </row>
    <row r="224" ht="19.5" customHeight="1">
      <c r="A224" s="20">
        <v>223.0</v>
      </c>
      <c r="B224" s="20">
        <f t="shared" si="1"/>
        <v>223</v>
      </c>
      <c r="C224" s="21" t="s">
        <v>245</v>
      </c>
      <c r="D224" s="20" t="s">
        <v>690</v>
      </c>
      <c r="E224" s="21" t="s">
        <v>45</v>
      </c>
      <c r="F224" s="21" t="s">
        <v>47</v>
      </c>
      <c r="G224" s="21" t="s">
        <v>724</v>
      </c>
      <c r="H224" s="33" t="s">
        <v>725</v>
      </c>
      <c r="I224" s="20" t="s">
        <v>354</v>
      </c>
      <c r="J224" s="66">
        <v>46382.0</v>
      </c>
      <c r="K224" s="66">
        <v>46383.0</v>
      </c>
      <c r="L224" s="67"/>
      <c r="M224" s="67"/>
      <c r="N224" s="21" t="s">
        <v>726</v>
      </c>
      <c r="O224" s="20" t="s">
        <v>54</v>
      </c>
      <c r="P224" s="20" t="s">
        <v>85</v>
      </c>
      <c r="Q224" s="20" t="s">
        <v>251</v>
      </c>
      <c r="R224" s="68"/>
      <c r="S224" s="28">
        <v>46264.0</v>
      </c>
      <c r="T224" s="68"/>
      <c r="U224" s="69"/>
      <c r="V224" s="20" t="s">
        <v>54</v>
      </c>
      <c r="W224" s="70"/>
      <c r="X224" s="21" t="s">
        <v>56</v>
      </c>
      <c r="Y224" s="20" t="s">
        <v>54</v>
      </c>
      <c r="Z224" s="68"/>
      <c r="AA224" s="29"/>
      <c r="AB224" s="29"/>
      <c r="AC224" s="30"/>
      <c r="AD224" s="68"/>
      <c r="AE224" s="71"/>
      <c r="AF224" s="71"/>
      <c r="AG224" s="71"/>
      <c r="AH224" s="69"/>
      <c r="AI224" s="69"/>
    </row>
    <row r="225" ht="19.5" customHeight="1">
      <c r="A225" s="20">
        <v>224.0</v>
      </c>
      <c r="B225" s="20">
        <f t="shared" si="1"/>
        <v>224</v>
      </c>
      <c r="C225" s="21" t="s">
        <v>245</v>
      </c>
      <c r="D225" s="20" t="s">
        <v>727</v>
      </c>
      <c r="E225" s="21" t="s">
        <v>45</v>
      </c>
      <c r="F225" s="21" t="s">
        <v>47</v>
      </c>
      <c r="G225" s="21" t="s">
        <v>728</v>
      </c>
      <c r="H225" s="33" t="s">
        <v>729</v>
      </c>
      <c r="I225" s="20" t="s">
        <v>354</v>
      </c>
      <c r="J225" s="66">
        <v>46379.0</v>
      </c>
      <c r="K225" s="66">
        <v>46380.0</v>
      </c>
      <c r="L225" s="67"/>
      <c r="M225" s="67"/>
      <c r="N225" s="21" t="s">
        <v>730</v>
      </c>
      <c r="O225" s="20" t="s">
        <v>54</v>
      </c>
      <c r="P225" s="20" t="s">
        <v>76</v>
      </c>
      <c r="Q225" s="20" t="s">
        <v>251</v>
      </c>
      <c r="R225" s="68"/>
      <c r="S225" s="28">
        <v>46264.0</v>
      </c>
      <c r="T225" s="68"/>
      <c r="U225" s="69"/>
      <c r="V225" s="20" t="s">
        <v>54</v>
      </c>
      <c r="W225" s="70"/>
      <c r="X225" s="21" t="s">
        <v>56</v>
      </c>
      <c r="Y225" s="20" t="s">
        <v>54</v>
      </c>
      <c r="Z225" s="68"/>
      <c r="AA225" s="29"/>
      <c r="AB225" s="29"/>
      <c r="AC225" s="30"/>
      <c r="AD225" s="68"/>
      <c r="AE225" s="71"/>
      <c r="AF225" s="71"/>
      <c r="AG225" s="71"/>
      <c r="AH225" s="69"/>
      <c r="AI225" s="69"/>
    </row>
    <row r="226" ht="19.5" customHeight="1">
      <c r="A226" s="20">
        <v>225.0</v>
      </c>
      <c r="B226" s="20">
        <f t="shared" si="1"/>
        <v>225</v>
      </c>
      <c r="C226" s="21" t="s">
        <v>245</v>
      </c>
      <c r="D226" s="20" t="s">
        <v>731</v>
      </c>
      <c r="E226" s="21" t="s">
        <v>45</v>
      </c>
      <c r="F226" s="21" t="s">
        <v>47</v>
      </c>
      <c r="G226" s="21" t="s">
        <v>732</v>
      </c>
      <c r="H226" s="22" t="s">
        <v>733</v>
      </c>
      <c r="I226" s="20" t="s">
        <v>354</v>
      </c>
      <c r="J226" s="66">
        <v>46318.0</v>
      </c>
      <c r="K226" s="66">
        <v>46319.0</v>
      </c>
      <c r="L226" s="67"/>
      <c r="M226" s="67"/>
      <c r="N226" s="21" t="s">
        <v>734</v>
      </c>
      <c r="O226" s="20" t="s">
        <v>54</v>
      </c>
      <c r="P226" s="20" t="s">
        <v>76</v>
      </c>
      <c r="Q226" s="20" t="s">
        <v>251</v>
      </c>
      <c r="R226" s="68"/>
      <c r="S226" s="28">
        <v>46264.0</v>
      </c>
      <c r="T226" s="68"/>
      <c r="U226" s="69"/>
      <c r="V226" s="20" t="s">
        <v>54</v>
      </c>
      <c r="W226" s="70"/>
      <c r="X226" s="21" t="s">
        <v>56</v>
      </c>
      <c r="Y226" s="20" t="s">
        <v>54</v>
      </c>
      <c r="Z226" s="68"/>
      <c r="AA226" s="29"/>
      <c r="AB226" s="29"/>
      <c r="AC226" s="30"/>
      <c r="AD226" s="68"/>
      <c r="AE226" s="71"/>
      <c r="AF226" s="71"/>
      <c r="AG226" s="71"/>
      <c r="AH226" s="69"/>
      <c r="AI226" s="69"/>
    </row>
    <row r="227" ht="19.5" customHeight="1">
      <c r="A227" s="20">
        <v>226.0</v>
      </c>
      <c r="B227" s="20">
        <f t="shared" si="1"/>
        <v>226</v>
      </c>
      <c r="C227" s="21" t="s">
        <v>245</v>
      </c>
      <c r="D227" s="20" t="s">
        <v>731</v>
      </c>
      <c r="E227" s="21" t="s">
        <v>45</v>
      </c>
      <c r="F227" s="21" t="s">
        <v>47</v>
      </c>
      <c r="G227" s="21" t="s">
        <v>735</v>
      </c>
      <c r="H227" s="22" t="s">
        <v>736</v>
      </c>
      <c r="I227" s="20" t="s">
        <v>354</v>
      </c>
      <c r="J227" s="66">
        <v>46383.0</v>
      </c>
      <c r="K227" s="66">
        <v>46387.0</v>
      </c>
      <c r="L227" s="67"/>
      <c r="M227" s="67"/>
      <c r="N227" s="21" t="s">
        <v>737</v>
      </c>
      <c r="O227" s="20" t="s">
        <v>54</v>
      </c>
      <c r="P227" s="20" t="s">
        <v>55</v>
      </c>
      <c r="Q227" s="20" t="s">
        <v>251</v>
      </c>
      <c r="R227" s="68"/>
      <c r="S227" s="28">
        <v>46264.0</v>
      </c>
      <c r="T227" s="68"/>
      <c r="U227" s="69"/>
      <c r="V227" s="20" t="s">
        <v>54</v>
      </c>
      <c r="W227" s="70"/>
      <c r="X227" s="21" t="s">
        <v>56</v>
      </c>
      <c r="Y227" s="20" t="s">
        <v>54</v>
      </c>
      <c r="Z227" s="68"/>
      <c r="AA227" s="29"/>
      <c r="AB227" s="29"/>
      <c r="AC227" s="30"/>
      <c r="AD227" s="68"/>
      <c r="AE227" s="71"/>
      <c r="AF227" s="71"/>
      <c r="AG227" s="71"/>
      <c r="AH227" s="69"/>
      <c r="AI227" s="69"/>
    </row>
    <row r="228" ht="19.5" customHeight="1">
      <c r="A228" s="20">
        <v>227.0</v>
      </c>
      <c r="B228" s="20">
        <f t="shared" si="1"/>
        <v>227</v>
      </c>
      <c r="C228" s="20" t="s">
        <v>738</v>
      </c>
      <c r="D228" s="20" t="s">
        <v>739</v>
      </c>
      <c r="E228" s="20" t="s">
        <v>45</v>
      </c>
      <c r="F228" s="20" t="s">
        <v>47</v>
      </c>
      <c r="G228" s="20" t="s">
        <v>740</v>
      </c>
      <c r="H228" s="33" t="s">
        <v>741</v>
      </c>
      <c r="I228" s="20" t="s">
        <v>742</v>
      </c>
      <c r="J228" s="75">
        <v>46267.0</v>
      </c>
      <c r="K228" s="75">
        <v>46271.0</v>
      </c>
      <c r="L228" s="67"/>
      <c r="M228" s="67"/>
      <c r="N228" s="20" t="s">
        <v>743</v>
      </c>
      <c r="O228" s="20" t="s">
        <v>82</v>
      </c>
      <c r="P228" s="20" t="s">
        <v>55</v>
      </c>
      <c r="Q228" s="20" t="s">
        <v>251</v>
      </c>
      <c r="R228" s="68"/>
      <c r="S228" s="71"/>
      <c r="T228" s="68"/>
      <c r="U228" s="26"/>
      <c r="V228" s="68"/>
      <c r="W228" s="70"/>
      <c r="X228" s="68"/>
      <c r="Y228" s="20" t="s">
        <v>57</v>
      </c>
      <c r="Z228" s="68"/>
      <c r="AA228" s="28">
        <v>46268.0</v>
      </c>
      <c r="AB228" s="29"/>
      <c r="AC228" s="30"/>
      <c r="AD228" s="68"/>
      <c r="AE228" s="71"/>
      <c r="AF228" s="71"/>
      <c r="AG228" s="71"/>
      <c r="AH228" s="69"/>
      <c r="AI228" s="69"/>
    </row>
    <row r="229" ht="19.5" customHeight="1">
      <c r="A229" s="20">
        <v>228.0</v>
      </c>
      <c r="B229" s="20">
        <f t="shared" si="1"/>
        <v>228</v>
      </c>
      <c r="C229" s="20" t="s">
        <v>738</v>
      </c>
      <c r="D229" s="20" t="s">
        <v>739</v>
      </c>
      <c r="E229" s="20" t="s">
        <v>45</v>
      </c>
      <c r="F229" s="20" t="s">
        <v>47</v>
      </c>
      <c r="G229" s="20" t="s">
        <v>744</v>
      </c>
      <c r="H229" s="33" t="s">
        <v>745</v>
      </c>
      <c r="I229" s="20" t="s">
        <v>742</v>
      </c>
      <c r="J229" s="75">
        <v>46267.0</v>
      </c>
      <c r="K229" s="75">
        <v>46271.0</v>
      </c>
      <c r="L229" s="67"/>
      <c r="M229" s="67"/>
      <c r="N229" s="20" t="s">
        <v>746</v>
      </c>
      <c r="O229" s="20" t="s">
        <v>82</v>
      </c>
      <c r="P229" s="20" t="s">
        <v>76</v>
      </c>
      <c r="Q229" s="20" t="s">
        <v>251</v>
      </c>
      <c r="R229" s="68"/>
      <c r="S229" s="71"/>
      <c r="T229" s="68"/>
      <c r="U229" s="26"/>
      <c r="V229" s="68"/>
      <c r="W229" s="70"/>
      <c r="X229" s="68"/>
      <c r="Y229" s="20" t="s">
        <v>57</v>
      </c>
      <c r="Z229" s="68"/>
      <c r="AA229" s="28">
        <v>46268.0</v>
      </c>
      <c r="AB229" s="29"/>
      <c r="AC229" s="30"/>
      <c r="AD229" s="68"/>
      <c r="AE229" s="71"/>
      <c r="AF229" s="71"/>
      <c r="AG229" s="71"/>
      <c r="AH229" s="69"/>
      <c r="AI229" s="69"/>
    </row>
    <row r="230" ht="19.5" customHeight="1">
      <c r="A230" s="20">
        <v>229.0</v>
      </c>
      <c r="B230" s="20">
        <f t="shared" si="1"/>
        <v>229</v>
      </c>
      <c r="C230" s="20" t="s">
        <v>738</v>
      </c>
      <c r="D230" s="20" t="s">
        <v>739</v>
      </c>
      <c r="E230" s="20" t="s">
        <v>45</v>
      </c>
      <c r="F230" s="20" t="s">
        <v>47</v>
      </c>
      <c r="G230" s="20" t="s">
        <v>747</v>
      </c>
      <c r="H230" s="33" t="s">
        <v>748</v>
      </c>
      <c r="I230" s="20" t="s">
        <v>742</v>
      </c>
      <c r="J230" s="75">
        <v>46267.0</v>
      </c>
      <c r="K230" s="75">
        <v>46271.0</v>
      </c>
      <c r="L230" s="67"/>
      <c r="M230" s="67"/>
      <c r="N230" s="20" t="s">
        <v>749</v>
      </c>
      <c r="O230" s="20" t="s">
        <v>82</v>
      </c>
      <c r="P230" s="20" t="s">
        <v>76</v>
      </c>
      <c r="Q230" s="20" t="s">
        <v>251</v>
      </c>
      <c r="R230" s="68"/>
      <c r="S230" s="71"/>
      <c r="T230" s="68"/>
      <c r="U230" s="26"/>
      <c r="V230" s="68"/>
      <c r="W230" s="70"/>
      <c r="X230" s="68"/>
      <c r="Y230" s="20" t="s">
        <v>57</v>
      </c>
      <c r="Z230" s="68"/>
      <c r="AA230" s="28">
        <v>46268.0</v>
      </c>
      <c r="AB230" s="29"/>
      <c r="AC230" s="30"/>
      <c r="AD230" s="68"/>
      <c r="AE230" s="71"/>
      <c r="AF230" s="71"/>
      <c r="AG230" s="71"/>
      <c r="AH230" s="69"/>
      <c r="AI230" s="69"/>
    </row>
    <row r="231" ht="19.5" customHeight="1">
      <c r="A231" s="20">
        <v>230.0</v>
      </c>
      <c r="B231" s="20">
        <f t="shared" si="1"/>
        <v>230</v>
      </c>
      <c r="C231" s="20" t="s">
        <v>738</v>
      </c>
      <c r="D231" s="20" t="s">
        <v>739</v>
      </c>
      <c r="E231" s="20" t="s">
        <v>45</v>
      </c>
      <c r="F231" s="20" t="s">
        <v>47</v>
      </c>
      <c r="G231" s="20" t="s">
        <v>750</v>
      </c>
      <c r="H231" s="33" t="s">
        <v>751</v>
      </c>
      <c r="I231" s="20" t="s">
        <v>752</v>
      </c>
      <c r="J231" s="75">
        <v>46267.0</v>
      </c>
      <c r="K231" s="75">
        <v>46271.0</v>
      </c>
      <c r="L231" s="67"/>
      <c r="M231" s="67"/>
      <c r="N231" s="20" t="s">
        <v>753</v>
      </c>
      <c r="O231" s="20" t="s">
        <v>82</v>
      </c>
      <c r="P231" s="20" t="s">
        <v>55</v>
      </c>
      <c r="Q231" s="20" t="s">
        <v>251</v>
      </c>
      <c r="R231" s="68"/>
      <c r="S231" s="71"/>
      <c r="T231" s="68"/>
      <c r="U231" s="26"/>
      <c r="V231" s="68"/>
      <c r="W231" s="70"/>
      <c r="X231" s="68"/>
      <c r="Y231" s="20" t="s">
        <v>57</v>
      </c>
      <c r="Z231" s="68"/>
      <c r="AA231" s="28">
        <v>46268.0</v>
      </c>
      <c r="AB231" s="29"/>
      <c r="AC231" s="30"/>
      <c r="AD231" s="68"/>
      <c r="AE231" s="71"/>
      <c r="AF231" s="71"/>
      <c r="AG231" s="71"/>
      <c r="AH231" s="69"/>
      <c r="AI231" s="69"/>
    </row>
    <row r="232" ht="19.5" customHeight="1">
      <c r="A232" s="20">
        <v>231.0</v>
      </c>
      <c r="B232" s="20">
        <f t="shared" si="1"/>
        <v>231</v>
      </c>
      <c r="C232" s="20" t="s">
        <v>738</v>
      </c>
      <c r="D232" s="20" t="s">
        <v>739</v>
      </c>
      <c r="E232" s="20" t="s">
        <v>45</v>
      </c>
      <c r="F232" s="20" t="s">
        <v>47</v>
      </c>
      <c r="G232" s="20" t="s">
        <v>754</v>
      </c>
      <c r="H232" s="33" t="s">
        <v>755</v>
      </c>
      <c r="I232" s="20" t="s">
        <v>742</v>
      </c>
      <c r="J232" s="75">
        <v>46274.0</v>
      </c>
      <c r="K232" s="75">
        <v>46288.0</v>
      </c>
      <c r="L232" s="67"/>
      <c r="M232" s="67"/>
      <c r="N232" s="20" t="s">
        <v>756</v>
      </c>
      <c r="O232" s="20" t="s">
        <v>82</v>
      </c>
      <c r="P232" s="20" t="s">
        <v>55</v>
      </c>
      <c r="Q232" s="20" t="s">
        <v>251</v>
      </c>
      <c r="R232" s="68"/>
      <c r="S232" s="71"/>
      <c r="T232" s="68"/>
      <c r="U232" s="26"/>
      <c r="V232" s="68"/>
      <c r="W232" s="70"/>
      <c r="X232" s="68"/>
      <c r="Y232" s="20" t="s">
        <v>57</v>
      </c>
      <c r="Z232" s="68"/>
      <c r="AA232" s="28">
        <v>46268.0</v>
      </c>
      <c r="AB232" s="29"/>
      <c r="AC232" s="30"/>
      <c r="AD232" s="68"/>
      <c r="AE232" s="71"/>
      <c r="AF232" s="71"/>
      <c r="AG232" s="71"/>
      <c r="AH232" s="69"/>
      <c r="AI232" s="69"/>
    </row>
    <row r="233" ht="19.5" customHeight="1">
      <c r="A233" s="20">
        <v>232.0</v>
      </c>
      <c r="B233" s="20">
        <f t="shared" si="1"/>
        <v>232</v>
      </c>
      <c r="C233" s="20" t="s">
        <v>738</v>
      </c>
      <c r="D233" s="20" t="s">
        <v>739</v>
      </c>
      <c r="E233" s="20" t="s">
        <v>45</v>
      </c>
      <c r="F233" s="20" t="s">
        <v>47</v>
      </c>
      <c r="G233" s="20" t="s">
        <v>757</v>
      </c>
      <c r="H233" s="33" t="s">
        <v>758</v>
      </c>
      <c r="I233" s="20" t="s">
        <v>742</v>
      </c>
      <c r="J233" s="75">
        <v>46274.0</v>
      </c>
      <c r="K233" s="75">
        <v>46288.0</v>
      </c>
      <c r="L233" s="67"/>
      <c r="M233" s="67"/>
      <c r="N233" s="20" t="s">
        <v>759</v>
      </c>
      <c r="O233" s="20" t="s">
        <v>82</v>
      </c>
      <c r="P233" s="20" t="s">
        <v>55</v>
      </c>
      <c r="Q233" s="20" t="s">
        <v>251</v>
      </c>
      <c r="R233" s="68"/>
      <c r="S233" s="71"/>
      <c r="T233" s="68"/>
      <c r="U233" s="26"/>
      <c r="V233" s="68"/>
      <c r="W233" s="70"/>
      <c r="X233" s="68"/>
      <c r="Y233" s="20" t="s">
        <v>57</v>
      </c>
      <c r="Z233" s="68"/>
      <c r="AA233" s="29"/>
      <c r="AB233" s="29"/>
      <c r="AC233" s="30"/>
      <c r="AD233" s="68"/>
      <c r="AE233" s="71"/>
      <c r="AF233" s="71"/>
      <c r="AG233" s="71"/>
      <c r="AH233" s="69"/>
      <c r="AI233" s="69"/>
    </row>
    <row r="234" ht="19.5" customHeight="1">
      <c r="A234" s="20">
        <v>233.0</v>
      </c>
      <c r="B234" s="20">
        <f t="shared" si="1"/>
        <v>233</v>
      </c>
      <c r="C234" s="20" t="s">
        <v>738</v>
      </c>
      <c r="D234" s="20" t="s">
        <v>739</v>
      </c>
      <c r="E234" s="20" t="s">
        <v>45</v>
      </c>
      <c r="F234" s="20" t="s">
        <v>47</v>
      </c>
      <c r="G234" s="20" t="s">
        <v>760</v>
      </c>
      <c r="H234" s="33" t="s">
        <v>761</v>
      </c>
      <c r="I234" s="20" t="s">
        <v>752</v>
      </c>
      <c r="J234" s="75">
        <v>46274.0</v>
      </c>
      <c r="K234" s="75">
        <v>46288.0</v>
      </c>
      <c r="L234" s="67"/>
      <c r="M234" s="67"/>
      <c r="N234" s="20" t="s">
        <v>762</v>
      </c>
      <c r="O234" s="20" t="s">
        <v>82</v>
      </c>
      <c r="P234" s="20" t="s">
        <v>55</v>
      </c>
      <c r="Q234" s="20" t="s">
        <v>251</v>
      </c>
      <c r="R234" s="68"/>
      <c r="S234" s="71"/>
      <c r="T234" s="68"/>
      <c r="U234" s="26"/>
      <c r="V234" s="68"/>
      <c r="W234" s="70"/>
      <c r="X234" s="68"/>
      <c r="Y234" s="20" t="s">
        <v>57</v>
      </c>
      <c r="Z234" s="68"/>
      <c r="AA234" s="28">
        <v>46268.0</v>
      </c>
      <c r="AB234" s="29"/>
      <c r="AC234" s="30"/>
      <c r="AD234" s="68"/>
      <c r="AE234" s="71"/>
      <c r="AF234" s="71"/>
      <c r="AG234" s="71"/>
      <c r="AH234" s="69"/>
      <c r="AI234" s="69"/>
    </row>
    <row r="235" ht="19.5" customHeight="1">
      <c r="A235" s="20">
        <v>234.0</v>
      </c>
      <c r="B235" s="20">
        <f t="shared" si="1"/>
        <v>234</v>
      </c>
      <c r="C235" s="20" t="s">
        <v>738</v>
      </c>
      <c r="D235" s="20" t="s">
        <v>739</v>
      </c>
      <c r="E235" s="20" t="s">
        <v>45</v>
      </c>
      <c r="F235" s="20" t="s">
        <v>47</v>
      </c>
      <c r="G235" s="20" t="s">
        <v>763</v>
      </c>
      <c r="H235" s="22" t="s">
        <v>764</v>
      </c>
      <c r="I235" s="20" t="s">
        <v>742</v>
      </c>
      <c r="J235" s="75">
        <v>46302.0</v>
      </c>
      <c r="K235" s="75">
        <v>46320.0</v>
      </c>
      <c r="L235" s="67"/>
      <c r="M235" s="67"/>
      <c r="N235" s="20" t="s">
        <v>765</v>
      </c>
      <c r="O235" s="68"/>
      <c r="P235" s="20" t="s">
        <v>55</v>
      </c>
      <c r="Q235" s="20" t="s">
        <v>251</v>
      </c>
      <c r="R235" s="68"/>
      <c r="S235" s="71"/>
      <c r="T235" s="68"/>
      <c r="U235" s="26"/>
      <c r="V235" s="68"/>
      <c r="W235" s="70"/>
      <c r="X235" s="68"/>
      <c r="Y235" s="20" t="s">
        <v>57</v>
      </c>
      <c r="Z235" s="68"/>
      <c r="AA235" s="28">
        <v>46268.0</v>
      </c>
      <c r="AB235" s="29"/>
      <c r="AC235" s="30"/>
      <c r="AD235" s="68"/>
      <c r="AE235" s="71"/>
      <c r="AF235" s="71"/>
      <c r="AG235" s="71"/>
      <c r="AH235" s="69"/>
      <c r="AI235" s="69"/>
    </row>
    <row r="236" ht="19.5" customHeight="1">
      <c r="A236" s="20">
        <v>235.0</v>
      </c>
      <c r="B236" s="20">
        <f t="shared" si="1"/>
        <v>235</v>
      </c>
      <c r="C236" s="20" t="s">
        <v>738</v>
      </c>
      <c r="D236" s="20" t="s">
        <v>739</v>
      </c>
      <c r="E236" s="20" t="s">
        <v>45</v>
      </c>
      <c r="F236" s="20" t="s">
        <v>47</v>
      </c>
      <c r="G236" s="20" t="s">
        <v>766</v>
      </c>
      <c r="H236" s="33" t="s">
        <v>767</v>
      </c>
      <c r="I236" s="20" t="s">
        <v>742</v>
      </c>
      <c r="J236" s="75">
        <v>46267.0</v>
      </c>
      <c r="K236" s="75">
        <v>46271.0</v>
      </c>
      <c r="L236" s="67"/>
      <c r="M236" s="67"/>
      <c r="N236" s="20" t="s">
        <v>768</v>
      </c>
      <c r="O236" s="20" t="s">
        <v>82</v>
      </c>
      <c r="P236" s="20" t="s">
        <v>76</v>
      </c>
      <c r="Q236" s="20" t="s">
        <v>251</v>
      </c>
      <c r="R236" s="68"/>
      <c r="S236" s="71"/>
      <c r="T236" s="68"/>
      <c r="U236" s="26"/>
      <c r="V236" s="68"/>
      <c r="W236" s="70"/>
      <c r="X236" s="68"/>
      <c r="Y236" s="20" t="s">
        <v>57</v>
      </c>
      <c r="Z236" s="68"/>
      <c r="AA236" s="28">
        <v>46268.0</v>
      </c>
      <c r="AB236" s="29"/>
      <c r="AC236" s="30"/>
      <c r="AD236" s="68"/>
      <c r="AE236" s="71"/>
      <c r="AF236" s="71"/>
      <c r="AG236" s="71"/>
      <c r="AH236" s="69"/>
      <c r="AI236" s="69"/>
    </row>
    <row r="237" ht="19.5" customHeight="1">
      <c r="A237" s="20">
        <v>236.0</v>
      </c>
      <c r="B237" s="20">
        <f t="shared" si="1"/>
        <v>236</v>
      </c>
      <c r="C237" s="20" t="s">
        <v>738</v>
      </c>
      <c r="D237" s="20" t="s">
        <v>739</v>
      </c>
      <c r="E237" s="20" t="s">
        <v>45</v>
      </c>
      <c r="F237" s="20" t="s">
        <v>47</v>
      </c>
      <c r="G237" s="20" t="s">
        <v>769</v>
      </c>
      <c r="H237" s="22" t="s">
        <v>770</v>
      </c>
      <c r="I237" s="20" t="s">
        <v>752</v>
      </c>
      <c r="J237" s="75">
        <v>46323.0</v>
      </c>
      <c r="K237" s="75">
        <v>46341.0</v>
      </c>
      <c r="L237" s="67"/>
      <c r="M237" s="67"/>
      <c r="N237" s="20" t="s">
        <v>771</v>
      </c>
      <c r="O237" s="68"/>
      <c r="P237" s="20" t="s">
        <v>55</v>
      </c>
      <c r="Q237" s="20" t="s">
        <v>251</v>
      </c>
      <c r="R237" s="68"/>
      <c r="S237" s="71"/>
      <c r="T237" s="68"/>
      <c r="U237" s="26"/>
      <c r="V237" s="68"/>
      <c r="W237" s="70"/>
      <c r="X237" s="68"/>
      <c r="Y237" s="20" t="s">
        <v>57</v>
      </c>
      <c r="Z237" s="68"/>
      <c r="AA237" s="28">
        <v>46268.0</v>
      </c>
      <c r="AB237" s="29"/>
      <c r="AC237" s="30"/>
      <c r="AD237" s="68"/>
      <c r="AE237" s="71"/>
      <c r="AF237" s="71"/>
      <c r="AG237" s="71"/>
      <c r="AH237" s="69"/>
      <c r="AI237" s="69"/>
    </row>
    <row r="238" ht="19.5" customHeight="1">
      <c r="A238" s="20">
        <v>237.0</v>
      </c>
      <c r="B238" s="20">
        <f t="shared" si="1"/>
        <v>237</v>
      </c>
      <c r="C238" s="20" t="s">
        <v>738</v>
      </c>
      <c r="D238" s="20" t="s">
        <v>739</v>
      </c>
      <c r="E238" s="20" t="s">
        <v>45</v>
      </c>
      <c r="F238" s="20" t="s">
        <v>47</v>
      </c>
      <c r="G238" s="20" t="s">
        <v>772</v>
      </c>
      <c r="H238" s="33" t="s">
        <v>773</v>
      </c>
      <c r="I238" s="20" t="s">
        <v>752</v>
      </c>
      <c r="J238" s="75">
        <v>46323.0</v>
      </c>
      <c r="K238" s="75">
        <v>46341.0</v>
      </c>
      <c r="L238" s="67"/>
      <c r="M238" s="67"/>
      <c r="N238" s="20" t="s">
        <v>774</v>
      </c>
      <c r="O238" s="68"/>
      <c r="P238" s="20" t="s">
        <v>76</v>
      </c>
      <c r="Q238" s="20" t="s">
        <v>251</v>
      </c>
      <c r="R238" s="68"/>
      <c r="S238" s="71"/>
      <c r="T238" s="68"/>
      <c r="U238" s="26"/>
      <c r="V238" s="68"/>
      <c r="W238" s="70"/>
      <c r="X238" s="68"/>
      <c r="Y238" s="20" t="s">
        <v>57</v>
      </c>
      <c r="Z238" s="68"/>
      <c r="AA238" s="28">
        <v>46268.0</v>
      </c>
      <c r="AB238" s="29"/>
      <c r="AC238" s="30"/>
      <c r="AD238" s="68"/>
      <c r="AE238" s="71"/>
      <c r="AF238" s="71"/>
      <c r="AG238" s="71"/>
      <c r="AH238" s="69"/>
      <c r="AI238" s="69"/>
    </row>
    <row r="239" ht="19.5" customHeight="1">
      <c r="A239" s="20">
        <v>238.0</v>
      </c>
      <c r="B239" s="20">
        <f t="shared" si="1"/>
        <v>238</v>
      </c>
      <c r="C239" s="20" t="s">
        <v>738</v>
      </c>
      <c r="D239" s="20" t="s">
        <v>739</v>
      </c>
      <c r="E239" s="20" t="s">
        <v>45</v>
      </c>
      <c r="F239" s="20" t="s">
        <v>47</v>
      </c>
      <c r="G239" s="20" t="s">
        <v>775</v>
      </c>
      <c r="H239" s="33" t="s">
        <v>776</v>
      </c>
      <c r="I239" s="20" t="s">
        <v>752</v>
      </c>
      <c r="J239" s="75">
        <v>46323.0</v>
      </c>
      <c r="K239" s="75">
        <v>46341.0</v>
      </c>
      <c r="L239" s="67"/>
      <c r="M239" s="67"/>
      <c r="N239" s="20" t="s">
        <v>777</v>
      </c>
      <c r="O239" s="68"/>
      <c r="P239" s="20" t="s">
        <v>76</v>
      </c>
      <c r="Q239" s="20" t="s">
        <v>251</v>
      </c>
      <c r="R239" s="68"/>
      <c r="S239" s="71"/>
      <c r="T239" s="68"/>
      <c r="U239" s="26"/>
      <c r="V239" s="68"/>
      <c r="W239" s="70"/>
      <c r="X239" s="68"/>
      <c r="Y239" s="20" t="s">
        <v>57</v>
      </c>
      <c r="Z239" s="68"/>
      <c r="AA239" s="28">
        <v>46268.0</v>
      </c>
      <c r="AB239" s="29"/>
      <c r="AC239" s="30"/>
      <c r="AD239" s="68"/>
      <c r="AE239" s="71"/>
      <c r="AF239" s="71"/>
      <c r="AG239" s="71"/>
      <c r="AH239" s="69"/>
      <c r="AI239" s="69"/>
    </row>
    <row r="240" ht="19.5" customHeight="1">
      <c r="A240" s="20">
        <v>239.0</v>
      </c>
      <c r="B240" s="20">
        <f t="shared" si="1"/>
        <v>239</v>
      </c>
      <c r="C240" s="20" t="s">
        <v>738</v>
      </c>
      <c r="D240" s="20" t="s">
        <v>739</v>
      </c>
      <c r="E240" s="20" t="s">
        <v>45</v>
      </c>
      <c r="F240" s="20" t="s">
        <v>47</v>
      </c>
      <c r="G240" s="20" t="s">
        <v>778</v>
      </c>
      <c r="H240" s="33" t="s">
        <v>779</v>
      </c>
      <c r="I240" s="20" t="s">
        <v>752</v>
      </c>
      <c r="J240" s="75">
        <v>46323.0</v>
      </c>
      <c r="K240" s="75">
        <v>46341.0</v>
      </c>
      <c r="L240" s="67"/>
      <c r="M240" s="67"/>
      <c r="N240" s="20" t="s">
        <v>780</v>
      </c>
      <c r="O240" s="20" t="s">
        <v>82</v>
      </c>
      <c r="P240" s="20" t="s">
        <v>76</v>
      </c>
      <c r="Q240" s="20" t="s">
        <v>251</v>
      </c>
      <c r="R240" s="68"/>
      <c r="S240" s="71"/>
      <c r="T240" s="68"/>
      <c r="U240" s="26"/>
      <c r="V240" s="68"/>
      <c r="W240" s="70"/>
      <c r="X240" s="68"/>
      <c r="Y240" s="20" t="s">
        <v>57</v>
      </c>
      <c r="Z240" s="68"/>
      <c r="AA240" s="28">
        <v>46268.0</v>
      </c>
      <c r="AB240" s="29"/>
      <c r="AC240" s="30"/>
      <c r="AD240" s="68"/>
      <c r="AE240" s="71"/>
      <c r="AF240" s="71"/>
      <c r="AG240" s="71"/>
      <c r="AH240" s="69"/>
      <c r="AI240" s="69"/>
    </row>
    <row r="241" ht="19.5" customHeight="1">
      <c r="A241" s="20">
        <v>240.0</v>
      </c>
      <c r="B241" s="20">
        <f t="shared" si="1"/>
        <v>240</v>
      </c>
      <c r="C241" s="20" t="s">
        <v>738</v>
      </c>
      <c r="D241" s="20" t="s">
        <v>739</v>
      </c>
      <c r="E241" s="20" t="s">
        <v>45</v>
      </c>
      <c r="F241" s="20" t="s">
        <v>47</v>
      </c>
      <c r="G241" s="20" t="s">
        <v>781</v>
      </c>
      <c r="H241" s="33" t="s">
        <v>782</v>
      </c>
      <c r="I241" s="20" t="s">
        <v>752</v>
      </c>
      <c r="J241" s="75">
        <v>46295.0</v>
      </c>
      <c r="K241" s="75">
        <v>46299.0</v>
      </c>
      <c r="L241" s="67"/>
      <c r="M241" s="67"/>
      <c r="N241" s="20" t="s">
        <v>783</v>
      </c>
      <c r="O241" s="20" t="s">
        <v>82</v>
      </c>
      <c r="P241" s="20" t="s">
        <v>76</v>
      </c>
      <c r="Q241" s="20" t="s">
        <v>251</v>
      </c>
      <c r="R241" s="68"/>
      <c r="S241" s="71"/>
      <c r="T241" s="68"/>
      <c r="U241" s="33" t="s">
        <v>784</v>
      </c>
      <c r="V241" s="68"/>
      <c r="W241" s="70"/>
      <c r="X241" s="68"/>
      <c r="Y241" s="20" t="s">
        <v>57</v>
      </c>
      <c r="Z241" s="68"/>
      <c r="AA241" s="29"/>
      <c r="AB241" s="29"/>
      <c r="AC241" s="30"/>
      <c r="AD241" s="68"/>
      <c r="AE241" s="71"/>
      <c r="AF241" s="71"/>
      <c r="AG241" s="71"/>
      <c r="AH241" s="69"/>
      <c r="AI241" s="69"/>
    </row>
    <row r="242" ht="19.5" customHeight="1">
      <c r="A242" s="20">
        <v>241.0</v>
      </c>
      <c r="B242" s="20">
        <f t="shared" si="1"/>
        <v>241</v>
      </c>
      <c r="C242" s="20" t="s">
        <v>738</v>
      </c>
      <c r="D242" s="20" t="s">
        <v>739</v>
      </c>
      <c r="E242" s="20" t="s">
        <v>45</v>
      </c>
      <c r="F242" s="20" t="s">
        <v>47</v>
      </c>
      <c r="G242" s="20" t="s">
        <v>785</v>
      </c>
      <c r="H242" s="33" t="s">
        <v>786</v>
      </c>
      <c r="I242" s="20" t="s">
        <v>742</v>
      </c>
      <c r="J242" s="75">
        <v>46323.0</v>
      </c>
      <c r="K242" s="75">
        <v>46334.0</v>
      </c>
      <c r="L242" s="67"/>
      <c r="M242" s="67"/>
      <c r="N242" s="20" t="s">
        <v>787</v>
      </c>
      <c r="O242" s="20" t="s">
        <v>82</v>
      </c>
      <c r="P242" s="20" t="s">
        <v>76</v>
      </c>
      <c r="Q242" s="20" t="s">
        <v>251</v>
      </c>
      <c r="R242" s="68"/>
      <c r="S242" s="71"/>
      <c r="T242" s="68"/>
      <c r="U242" s="33" t="s">
        <v>788</v>
      </c>
      <c r="V242" s="68"/>
      <c r="W242" s="70"/>
      <c r="X242" s="68"/>
      <c r="Y242" s="20" t="s">
        <v>57</v>
      </c>
      <c r="Z242" s="68"/>
      <c r="AA242" s="29"/>
      <c r="AB242" s="29"/>
      <c r="AC242" s="30"/>
      <c r="AD242" s="68"/>
      <c r="AE242" s="71"/>
      <c r="AF242" s="71"/>
      <c r="AG242" s="71"/>
      <c r="AH242" s="69"/>
      <c r="AI242" s="69"/>
    </row>
    <row r="243" ht="19.5" customHeight="1">
      <c r="A243" s="20">
        <v>242.0</v>
      </c>
      <c r="B243" s="20">
        <f t="shared" si="1"/>
        <v>242</v>
      </c>
      <c r="C243" s="20" t="s">
        <v>738</v>
      </c>
      <c r="D243" s="20" t="s">
        <v>739</v>
      </c>
      <c r="E243" s="20" t="s">
        <v>45</v>
      </c>
      <c r="F243" s="20" t="s">
        <v>47</v>
      </c>
      <c r="G243" s="20" t="s">
        <v>789</v>
      </c>
      <c r="H243" s="33" t="s">
        <v>790</v>
      </c>
      <c r="I243" s="20" t="s">
        <v>742</v>
      </c>
      <c r="J243" s="75">
        <v>46337.0</v>
      </c>
      <c r="K243" s="75">
        <v>46341.0</v>
      </c>
      <c r="L243" s="67"/>
      <c r="M243" s="67"/>
      <c r="N243" s="20" t="s">
        <v>791</v>
      </c>
      <c r="O243" s="20" t="s">
        <v>82</v>
      </c>
      <c r="P243" s="20" t="s">
        <v>76</v>
      </c>
      <c r="Q243" s="20" t="s">
        <v>251</v>
      </c>
      <c r="R243" s="68"/>
      <c r="S243" s="71"/>
      <c r="T243" s="68"/>
      <c r="U243" s="26"/>
      <c r="V243" s="68"/>
      <c r="W243" s="70"/>
      <c r="X243" s="68"/>
      <c r="Y243" s="20" t="s">
        <v>57</v>
      </c>
      <c r="Z243" s="68"/>
      <c r="AA243" s="29"/>
      <c r="AB243" s="29"/>
      <c r="AC243" s="30"/>
      <c r="AD243" s="68"/>
      <c r="AE243" s="71"/>
      <c r="AF243" s="71"/>
      <c r="AG243" s="71"/>
      <c r="AH243" s="69"/>
      <c r="AI243" s="69"/>
    </row>
    <row r="244" ht="19.5" customHeight="1">
      <c r="A244" s="20">
        <v>243.0</v>
      </c>
      <c r="B244" s="20">
        <f t="shared" si="1"/>
        <v>243</v>
      </c>
      <c r="C244" s="20" t="s">
        <v>738</v>
      </c>
      <c r="D244" s="20" t="s">
        <v>739</v>
      </c>
      <c r="E244" s="20" t="s">
        <v>45</v>
      </c>
      <c r="F244" s="20" t="s">
        <v>47</v>
      </c>
      <c r="G244" s="21" t="s">
        <v>792</v>
      </c>
      <c r="H244" s="33" t="s">
        <v>793</v>
      </c>
      <c r="I244" s="20" t="s">
        <v>742</v>
      </c>
      <c r="J244" s="75">
        <v>46267.0</v>
      </c>
      <c r="K244" s="75">
        <v>46271.0</v>
      </c>
      <c r="L244" s="67"/>
      <c r="M244" s="67"/>
      <c r="N244" s="20" t="s">
        <v>794</v>
      </c>
      <c r="O244" s="68"/>
      <c r="P244" s="20" t="s">
        <v>55</v>
      </c>
      <c r="Q244" s="20" t="s">
        <v>251</v>
      </c>
      <c r="R244" s="68"/>
      <c r="S244" s="71"/>
      <c r="T244" s="68"/>
      <c r="U244" s="69"/>
      <c r="V244" s="68"/>
      <c r="W244" s="70"/>
      <c r="X244" s="68"/>
      <c r="Y244" s="20" t="s">
        <v>57</v>
      </c>
      <c r="Z244" s="68"/>
      <c r="AA244" s="28">
        <v>46268.0</v>
      </c>
      <c r="AB244" s="29"/>
      <c r="AC244" s="30"/>
      <c r="AD244" s="68"/>
      <c r="AE244" s="71"/>
      <c r="AF244" s="71"/>
      <c r="AG244" s="71"/>
      <c r="AH244" s="69"/>
      <c r="AI244" s="69"/>
    </row>
    <row r="245" ht="19.5" customHeight="1">
      <c r="A245" s="20">
        <v>244.0</v>
      </c>
      <c r="B245" s="20">
        <f t="shared" si="1"/>
        <v>244</v>
      </c>
      <c r="C245" s="20" t="s">
        <v>738</v>
      </c>
      <c r="D245" s="20" t="s">
        <v>739</v>
      </c>
      <c r="E245" s="20" t="s">
        <v>45</v>
      </c>
      <c r="F245" s="20" t="s">
        <v>47</v>
      </c>
      <c r="G245" s="21" t="s">
        <v>795</v>
      </c>
      <c r="H245" s="33" t="s">
        <v>796</v>
      </c>
      <c r="I245" s="20" t="s">
        <v>752</v>
      </c>
      <c r="J245" s="75">
        <v>46302.0</v>
      </c>
      <c r="K245" s="75">
        <v>46306.0</v>
      </c>
      <c r="L245" s="67"/>
      <c r="M245" s="67"/>
      <c r="N245" s="20" t="s">
        <v>797</v>
      </c>
      <c r="O245" s="68"/>
      <c r="P245" s="20" t="s">
        <v>76</v>
      </c>
      <c r="Q245" s="20" t="s">
        <v>251</v>
      </c>
      <c r="R245" s="68"/>
      <c r="S245" s="71"/>
      <c r="T245" s="68"/>
      <c r="U245" s="69"/>
      <c r="V245" s="68"/>
      <c r="W245" s="70"/>
      <c r="X245" s="68"/>
      <c r="Y245" s="20" t="s">
        <v>57</v>
      </c>
      <c r="Z245" s="68"/>
      <c r="AA245" s="28">
        <v>46268.0</v>
      </c>
      <c r="AB245" s="29"/>
      <c r="AC245" s="30"/>
      <c r="AD245" s="68"/>
      <c r="AE245" s="71"/>
      <c r="AF245" s="71"/>
      <c r="AG245" s="71"/>
      <c r="AH245" s="69"/>
      <c r="AI245" s="69"/>
    </row>
    <row r="246" ht="19.5" customHeight="1">
      <c r="A246" s="20">
        <v>245.0</v>
      </c>
      <c r="B246" s="20">
        <f t="shared" si="1"/>
        <v>245</v>
      </c>
      <c r="C246" s="20" t="s">
        <v>738</v>
      </c>
      <c r="D246" s="20" t="s">
        <v>739</v>
      </c>
      <c r="E246" s="20" t="s">
        <v>45</v>
      </c>
      <c r="F246" s="20" t="s">
        <v>47</v>
      </c>
      <c r="G246" s="21" t="s">
        <v>798</v>
      </c>
      <c r="H246" s="33" t="s">
        <v>799</v>
      </c>
      <c r="I246" s="20" t="s">
        <v>752</v>
      </c>
      <c r="J246" s="75">
        <v>46302.0</v>
      </c>
      <c r="K246" s="75">
        <v>46306.0</v>
      </c>
      <c r="L246" s="67"/>
      <c r="M246" s="67"/>
      <c r="N246" s="20" t="s">
        <v>797</v>
      </c>
      <c r="O246" s="68"/>
      <c r="P246" s="20" t="s">
        <v>76</v>
      </c>
      <c r="Q246" s="20" t="s">
        <v>251</v>
      </c>
      <c r="R246" s="68"/>
      <c r="S246" s="71"/>
      <c r="T246" s="68"/>
      <c r="U246" s="69"/>
      <c r="V246" s="68"/>
      <c r="W246" s="70"/>
      <c r="X246" s="68"/>
      <c r="Y246" s="20" t="s">
        <v>57</v>
      </c>
      <c r="Z246" s="68"/>
      <c r="AA246" s="28">
        <v>46268.0</v>
      </c>
      <c r="AB246" s="29"/>
      <c r="AC246" s="30"/>
      <c r="AD246" s="68"/>
      <c r="AE246" s="71"/>
      <c r="AF246" s="71"/>
      <c r="AG246" s="71"/>
      <c r="AH246" s="69"/>
      <c r="AI246" s="69"/>
    </row>
    <row r="247" ht="19.5" customHeight="1">
      <c r="A247" s="20">
        <v>246.0</v>
      </c>
      <c r="B247" s="20">
        <f t="shared" si="1"/>
        <v>246</v>
      </c>
      <c r="C247" s="20" t="s">
        <v>738</v>
      </c>
      <c r="D247" s="20" t="s">
        <v>739</v>
      </c>
      <c r="E247" s="20" t="s">
        <v>45</v>
      </c>
      <c r="F247" s="20" t="s">
        <v>47</v>
      </c>
      <c r="G247" s="21" t="s">
        <v>800</v>
      </c>
      <c r="H247" s="33" t="s">
        <v>801</v>
      </c>
      <c r="I247" s="20" t="s">
        <v>752</v>
      </c>
      <c r="J247" s="75">
        <v>46302.0</v>
      </c>
      <c r="K247" s="75">
        <v>46306.0</v>
      </c>
      <c r="L247" s="67"/>
      <c r="M247" s="67"/>
      <c r="N247" s="20" t="s">
        <v>797</v>
      </c>
      <c r="O247" s="68"/>
      <c r="P247" s="20" t="s">
        <v>76</v>
      </c>
      <c r="Q247" s="20" t="s">
        <v>251</v>
      </c>
      <c r="R247" s="68"/>
      <c r="S247" s="71"/>
      <c r="T247" s="68"/>
      <c r="U247" s="69"/>
      <c r="V247" s="68"/>
      <c r="W247" s="70"/>
      <c r="X247" s="68"/>
      <c r="Y247" s="20" t="s">
        <v>57</v>
      </c>
      <c r="Z247" s="68"/>
      <c r="AA247" s="28">
        <v>46268.0</v>
      </c>
      <c r="AB247" s="29"/>
      <c r="AC247" s="30"/>
      <c r="AD247" s="68"/>
      <c r="AE247" s="71"/>
      <c r="AF247" s="71"/>
      <c r="AG247" s="71"/>
      <c r="AH247" s="69"/>
      <c r="AI247" s="69"/>
    </row>
    <row r="248" ht="19.5" customHeight="1">
      <c r="A248" s="20">
        <v>247.0</v>
      </c>
      <c r="B248" s="20">
        <f t="shared" si="1"/>
        <v>247</v>
      </c>
      <c r="C248" s="20" t="s">
        <v>738</v>
      </c>
      <c r="D248" s="20" t="s">
        <v>739</v>
      </c>
      <c r="E248" s="20" t="s">
        <v>45</v>
      </c>
      <c r="F248" s="20" t="s">
        <v>47</v>
      </c>
      <c r="G248" s="21" t="s">
        <v>802</v>
      </c>
      <c r="H248" s="33" t="s">
        <v>803</v>
      </c>
      <c r="I248" s="20" t="s">
        <v>752</v>
      </c>
      <c r="J248" s="75">
        <v>46302.0</v>
      </c>
      <c r="K248" s="75">
        <v>46306.0</v>
      </c>
      <c r="L248" s="67"/>
      <c r="M248" s="67"/>
      <c r="N248" s="20" t="s">
        <v>797</v>
      </c>
      <c r="O248" s="68"/>
      <c r="P248" s="20" t="s">
        <v>76</v>
      </c>
      <c r="Q248" s="20" t="s">
        <v>251</v>
      </c>
      <c r="R248" s="68"/>
      <c r="S248" s="71"/>
      <c r="T248" s="68"/>
      <c r="U248" s="69"/>
      <c r="V248" s="68"/>
      <c r="W248" s="70"/>
      <c r="X248" s="68"/>
      <c r="Y248" s="20" t="s">
        <v>57</v>
      </c>
      <c r="Z248" s="68"/>
      <c r="AA248" s="28">
        <v>46268.0</v>
      </c>
      <c r="AB248" s="29"/>
      <c r="AC248" s="30"/>
      <c r="AD248" s="68"/>
      <c r="AE248" s="71"/>
      <c r="AF248" s="71"/>
      <c r="AG248" s="71"/>
      <c r="AH248" s="69"/>
      <c r="AI248" s="69"/>
    </row>
    <row r="249" ht="19.5" customHeight="1">
      <c r="A249" s="20">
        <v>248.0</v>
      </c>
      <c r="B249" s="20">
        <f t="shared" si="1"/>
        <v>248</v>
      </c>
      <c r="C249" s="20" t="s">
        <v>738</v>
      </c>
      <c r="D249" s="20" t="s">
        <v>739</v>
      </c>
      <c r="E249" s="20" t="s">
        <v>45</v>
      </c>
      <c r="F249" s="20" t="s">
        <v>47</v>
      </c>
      <c r="G249" s="21" t="s">
        <v>804</v>
      </c>
      <c r="H249" s="33" t="s">
        <v>805</v>
      </c>
      <c r="I249" s="20" t="s">
        <v>752</v>
      </c>
      <c r="J249" s="75">
        <v>46302.0</v>
      </c>
      <c r="K249" s="75">
        <v>46306.0</v>
      </c>
      <c r="L249" s="67"/>
      <c r="M249" s="67"/>
      <c r="N249" s="20" t="s">
        <v>797</v>
      </c>
      <c r="O249" s="20" t="s">
        <v>82</v>
      </c>
      <c r="P249" s="20" t="s">
        <v>76</v>
      </c>
      <c r="Q249" s="20" t="s">
        <v>251</v>
      </c>
      <c r="R249" s="68"/>
      <c r="S249" s="71"/>
      <c r="T249" s="68"/>
      <c r="U249" s="69"/>
      <c r="V249" s="68"/>
      <c r="W249" s="70"/>
      <c r="X249" s="68"/>
      <c r="Y249" s="20" t="s">
        <v>57</v>
      </c>
      <c r="Z249" s="68"/>
      <c r="AA249" s="28">
        <v>46268.0</v>
      </c>
      <c r="AB249" s="29"/>
      <c r="AC249" s="30"/>
      <c r="AD249" s="68"/>
      <c r="AE249" s="71"/>
      <c r="AF249" s="71"/>
      <c r="AG249" s="71"/>
      <c r="AH249" s="69"/>
      <c r="AI249" s="69"/>
    </row>
    <row r="250" ht="19.5" customHeight="1">
      <c r="A250" s="20">
        <v>249.0</v>
      </c>
      <c r="B250" s="20">
        <f t="shared" si="1"/>
        <v>249</v>
      </c>
      <c r="C250" s="20" t="s">
        <v>738</v>
      </c>
      <c r="D250" s="20" t="s">
        <v>739</v>
      </c>
      <c r="E250" s="20" t="s">
        <v>45</v>
      </c>
      <c r="F250" s="20" t="s">
        <v>47</v>
      </c>
      <c r="G250" s="21" t="s">
        <v>806</v>
      </c>
      <c r="H250" s="33" t="s">
        <v>807</v>
      </c>
      <c r="I250" s="20" t="s">
        <v>752</v>
      </c>
      <c r="J250" s="75">
        <v>46309.0</v>
      </c>
      <c r="K250" s="75">
        <v>46320.0</v>
      </c>
      <c r="L250" s="67"/>
      <c r="M250" s="67"/>
      <c r="N250" s="20" t="s">
        <v>808</v>
      </c>
      <c r="O250" s="68"/>
      <c r="P250" s="20" t="s">
        <v>76</v>
      </c>
      <c r="Q250" s="20" t="s">
        <v>251</v>
      </c>
      <c r="R250" s="68"/>
      <c r="S250" s="71"/>
      <c r="T250" s="68"/>
      <c r="U250" s="69"/>
      <c r="V250" s="68"/>
      <c r="W250" s="70"/>
      <c r="X250" s="68"/>
      <c r="Y250" s="20" t="s">
        <v>57</v>
      </c>
      <c r="Z250" s="68"/>
      <c r="AA250" s="28">
        <v>46268.0</v>
      </c>
      <c r="AB250" s="29"/>
      <c r="AC250" s="30"/>
      <c r="AD250" s="68"/>
      <c r="AE250" s="71"/>
      <c r="AF250" s="71"/>
      <c r="AG250" s="71"/>
      <c r="AH250" s="69"/>
      <c r="AI250" s="69"/>
    </row>
    <row r="251" ht="19.5" customHeight="1">
      <c r="A251" s="20">
        <v>250.0</v>
      </c>
      <c r="B251" s="20">
        <f t="shared" si="1"/>
        <v>250</v>
      </c>
      <c r="C251" s="20" t="s">
        <v>738</v>
      </c>
      <c r="D251" s="20" t="s">
        <v>739</v>
      </c>
      <c r="E251" s="20" t="s">
        <v>45</v>
      </c>
      <c r="F251" s="20" t="s">
        <v>47</v>
      </c>
      <c r="G251" s="21" t="s">
        <v>809</v>
      </c>
      <c r="H251" s="33" t="s">
        <v>810</v>
      </c>
      <c r="I251" s="20" t="s">
        <v>742</v>
      </c>
      <c r="J251" s="75">
        <v>46323.0</v>
      </c>
      <c r="K251" s="75">
        <v>46334.0</v>
      </c>
      <c r="L251" s="67"/>
      <c r="M251" s="67"/>
      <c r="N251" s="20" t="s">
        <v>811</v>
      </c>
      <c r="O251" s="68"/>
      <c r="P251" s="20" t="s">
        <v>55</v>
      </c>
      <c r="Q251" s="20" t="s">
        <v>251</v>
      </c>
      <c r="R251" s="68"/>
      <c r="S251" s="71"/>
      <c r="T251" s="68"/>
      <c r="U251" s="69"/>
      <c r="V251" s="68"/>
      <c r="W251" s="70"/>
      <c r="X251" s="68"/>
      <c r="Y251" s="20" t="s">
        <v>57</v>
      </c>
      <c r="Z251" s="68"/>
      <c r="AA251" s="28">
        <v>46268.0</v>
      </c>
      <c r="AB251" s="29"/>
      <c r="AC251" s="30"/>
      <c r="AD251" s="68"/>
      <c r="AE251" s="71"/>
      <c r="AF251" s="71"/>
      <c r="AG251" s="71"/>
      <c r="AH251" s="69"/>
      <c r="AI251" s="69"/>
    </row>
    <row r="252" ht="19.5" customHeight="1">
      <c r="A252" s="20">
        <v>251.0</v>
      </c>
      <c r="B252" s="20">
        <f t="shared" si="1"/>
        <v>251</v>
      </c>
      <c r="C252" s="20" t="s">
        <v>738</v>
      </c>
      <c r="D252" s="20" t="s">
        <v>739</v>
      </c>
      <c r="E252" s="20" t="s">
        <v>45</v>
      </c>
      <c r="F252" s="20" t="s">
        <v>47</v>
      </c>
      <c r="G252" s="21" t="s">
        <v>812</v>
      </c>
      <c r="H252" s="33" t="s">
        <v>813</v>
      </c>
      <c r="I252" s="20" t="s">
        <v>742</v>
      </c>
      <c r="J252" s="75">
        <v>46323.0</v>
      </c>
      <c r="K252" s="75">
        <v>46334.0</v>
      </c>
      <c r="L252" s="67"/>
      <c r="M252" s="67"/>
      <c r="N252" s="20" t="s">
        <v>814</v>
      </c>
      <c r="O252" s="68"/>
      <c r="P252" s="20" t="s">
        <v>55</v>
      </c>
      <c r="Q252" s="20" t="s">
        <v>251</v>
      </c>
      <c r="R252" s="68"/>
      <c r="S252" s="71"/>
      <c r="T252" s="68"/>
      <c r="U252" s="69"/>
      <c r="V252" s="68"/>
      <c r="W252" s="70"/>
      <c r="X252" s="68"/>
      <c r="Y252" s="20" t="s">
        <v>57</v>
      </c>
      <c r="Z252" s="68"/>
      <c r="AA252" s="21"/>
      <c r="AB252" s="29"/>
      <c r="AC252" s="30"/>
      <c r="AD252" s="68"/>
      <c r="AE252" s="71"/>
      <c r="AF252" s="71"/>
      <c r="AG252" s="71"/>
      <c r="AH252" s="69"/>
      <c r="AI252" s="69"/>
    </row>
    <row r="253" ht="19.5" customHeight="1">
      <c r="A253" s="20">
        <v>252.0</v>
      </c>
      <c r="B253" s="20">
        <f t="shared" si="1"/>
        <v>252</v>
      </c>
      <c r="C253" s="20" t="s">
        <v>738</v>
      </c>
      <c r="D253" s="20" t="s">
        <v>739</v>
      </c>
      <c r="E253" s="20" t="s">
        <v>45</v>
      </c>
      <c r="F253" s="20" t="s">
        <v>47</v>
      </c>
      <c r="G253" s="21" t="s">
        <v>816</v>
      </c>
      <c r="H253" s="33" t="s">
        <v>817</v>
      </c>
      <c r="I253" s="20" t="s">
        <v>742</v>
      </c>
      <c r="J253" s="75">
        <v>46323.0</v>
      </c>
      <c r="K253" s="75">
        <v>46334.0</v>
      </c>
      <c r="L253" s="67"/>
      <c r="M253" s="67"/>
      <c r="N253" s="20" t="s">
        <v>818</v>
      </c>
      <c r="O253" s="68"/>
      <c r="P253" s="20" t="s">
        <v>55</v>
      </c>
      <c r="Q253" s="20" t="s">
        <v>251</v>
      </c>
      <c r="R253" s="68"/>
      <c r="S253" s="71"/>
      <c r="T253" s="68"/>
      <c r="U253" s="69"/>
      <c r="V253" s="68"/>
      <c r="W253" s="70"/>
      <c r="X253" s="68"/>
      <c r="Y253" s="20" t="s">
        <v>57</v>
      </c>
      <c r="Z253" s="68"/>
      <c r="AA253" s="28">
        <v>46268.0</v>
      </c>
      <c r="AB253" s="29"/>
      <c r="AC253" s="30"/>
      <c r="AD253" s="68"/>
      <c r="AE253" s="71"/>
      <c r="AF253" s="71"/>
      <c r="AG253" s="71"/>
      <c r="AH253" s="69"/>
      <c r="AI253" s="69"/>
    </row>
    <row r="254" ht="19.5" customHeight="1">
      <c r="A254" s="20">
        <v>253.0</v>
      </c>
      <c r="B254" s="20">
        <f t="shared" si="1"/>
        <v>253</v>
      </c>
      <c r="C254" s="20" t="s">
        <v>738</v>
      </c>
      <c r="D254" s="20" t="s">
        <v>739</v>
      </c>
      <c r="E254" s="20" t="s">
        <v>45</v>
      </c>
      <c r="F254" s="20" t="s">
        <v>47</v>
      </c>
      <c r="G254" s="21" t="s">
        <v>819</v>
      </c>
      <c r="H254" s="33" t="s">
        <v>820</v>
      </c>
      <c r="I254" s="20" t="s">
        <v>752</v>
      </c>
      <c r="J254" s="75">
        <v>46274.0</v>
      </c>
      <c r="K254" s="75">
        <v>46288.0</v>
      </c>
      <c r="L254" s="67"/>
      <c r="M254" s="67"/>
      <c r="N254" s="20" t="s">
        <v>821</v>
      </c>
      <c r="O254" s="68"/>
      <c r="P254" s="20" t="s">
        <v>55</v>
      </c>
      <c r="Q254" s="20" t="s">
        <v>251</v>
      </c>
      <c r="R254" s="68"/>
      <c r="S254" s="71"/>
      <c r="T254" s="68"/>
      <c r="U254" s="69"/>
      <c r="V254" s="68"/>
      <c r="W254" s="70"/>
      <c r="X254" s="68"/>
      <c r="Y254" s="20" t="s">
        <v>57</v>
      </c>
      <c r="Z254" s="68"/>
      <c r="AA254" s="28">
        <v>46268.0</v>
      </c>
      <c r="AB254" s="29"/>
      <c r="AC254" s="30"/>
      <c r="AD254" s="68"/>
      <c r="AE254" s="71"/>
      <c r="AF254" s="71"/>
      <c r="AG254" s="71"/>
      <c r="AH254" s="69"/>
      <c r="AI254" s="69"/>
    </row>
    <row r="255" ht="19.5" customHeight="1">
      <c r="A255" s="20">
        <v>254.0</v>
      </c>
      <c r="B255" s="20">
        <f t="shared" si="1"/>
        <v>254</v>
      </c>
      <c r="C255" s="20" t="s">
        <v>738</v>
      </c>
      <c r="D255" s="20" t="s">
        <v>739</v>
      </c>
      <c r="E255" s="20" t="s">
        <v>45</v>
      </c>
      <c r="F255" s="20" t="s">
        <v>47</v>
      </c>
      <c r="G255" s="21" t="s">
        <v>822</v>
      </c>
      <c r="H255" s="33" t="s">
        <v>823</v>
      </c>
      <c r="I255" s="20" t="s">
        <v>752</v>
      </c>
      <c r="J255" s="75">
        <v>46274.0</v>
      </c>
      <c r="K255" s="75">
        <v>46288.0</v>
      </c>
      <c r="L255" s="67"/>
      <c r="M255" s="67"/>
      <c r="N255" s="20" t="s">
        <v>824</v>
      </c>
      <c r="O255" s="68"/>
      <c r="P255" s="20" t="s">
        <v>55</v>
      </c>
      <c r="Q255" s="20" t="s">
        <v>251</v>
      </c>
      <c r="R255" s="68"/>
      <c r="S255" s="71"/>
      <c r="T255" s="68"/>
      <c r="U255" s="69"/>
      <c r="V255" s="68"/>
      <c r="W255" s="70"/>
      <c r="X255" s="68"/>
      <c r="Y255" s="20" t="s">
        <v>57</v>
      </c>
      <c r="Z255" s="68"/>
      <c r="AA255" s="28">
        <v>46268.0</v>
      </c>
      <c r="AB255" s="29"/>
      <c r="AC255" s="30"/>
      <c r="AD255" s="68"/>
      <c r="AE255" s="71"/>
      <c r="AF255" s="71"/>
      <c r="AG255" s="71"/>
      <c r="AH255" s="69"/>
      <c r="AI255" s="69"/>
    </row>
    <row r="256" ht="19.5" customHeight="1">
      <c r="A256" s="20">
        <v>255.0</v>
      </c>
      <c r="B256" s="20">
        <f t="shared" si="1"/>
        <v>255</v>
      </c>
      <c r="C256" s="20" t="s">
        <v>738</v>
      </c>
      <c r="D256" s="20" t="s">
        <v>739</v>
      </c>
      <c r="E256" s="20" t="s">
        <v>45</v>
      </c>
      <c r="F256" s="20" t="s">
        <v>47</v>
      </c>
      <c r="G256" s="21" t="s">
        <v>825</v>
      </c>
      <c r="H256" s="22" t="s">
        <v>826</v>
      </c>
      <c r="I256" s="20" t="s">
        <v>752</v>
      </c>
      <c r="J256" s="75">
        <v>46344.0</v>
      </c>
      <c r="K256" s="75">
        <v>46348.0</v>
      </c>
      <c r="L256" s="67"/>
      <c r="M256" s="67"/>
      <c r="N256" s="20" t="s">
        <v>827</v>
      </c>
      <c r="O256" s="68"/>
      <c r="P256" s="20" t="s">
        <v>76</v>
      </c>
      <c r="Q256" s="20" t="s">
        <v>251</v>
      </c>
      <c r="R256" s="68"/>
      <c r="S256" s="71"/>
      <c r="T256" s="68"/>
      <c r="U256" s="69"/>
      <c r="V256" s="68"/>
      <c r="W256" s="70"/>
      <c r="X256" s="68"/>
      <c r="Y256" s="20" t="s">
        <v>57</v>
      </c>
      <c r="Z256" s="68"/>
      <c r="AA256" s="28">
        <v>46268.0</v>
      </c>
      <c r="AB256" s="29"/>
      <c r="AC256" s="30"/>
      <c r="AD256" s="68"/>
      <c r="AE256" s="71"/>
      <c r="AF256" s="71"/>
      <c r="AG256" s="71"/>
      <c r="AH256" s="69"/>
      <c r="AI256" s="69"/>
    </row>
    <row r="257" ht="19.5" customHeight="1">
      <c r="A257" s="20">
        <v>256.0</v>
      </c>
      <c r="B257" s="20">
        <f t="shared" si="1"/>
        <v>256</v>
      </c>
      <c r="C257" s="20" t="s">
        <v>738</v>
      </c>
      <c r="D257" s="20" t="s">
        <v>739</v>
      </c>
      <c r="E257" s="20" t="s">
        <v>45</v>
      </c>
      <c r="F257" s="20" t="s">
        <v>47</v>
      </c>
      <c r="G257" s="21" t="s">
        <v>828</v>
      </c>
      <c r="H257" s="33" t="s">
        <v>829</v>
      </c>
      <c r="I257" s="20" t="s">
        <v>752</v>
      </c>
      <c r="J257" s="75">
        <v>46344.0</v>
      </c>
      <c r="K257" s="75">
        <v>46348.0</v>
      </c>
      <c r="L257" s="67"/>
      <c r="M257" s="67"/>
      <c r="N257" s="20" t="s">
        <v>830</v>
      </c>
      <c r="O257" s="68"/>
      <c r="P257" s="20" t="s">
        <v>76</v>
      </c>
      <c r="Q257" s="20" t="s">
        <v>251</v>
      </c>
      <c r="R257" s="68"/>
      <c r="S257" s="71"/>
      <c r="T257" s="68"/>
      <c r="U257" s="69"/>
      <c r="V257" s="68"/>
      <c r="W257" s="70"/>
      <c r="X257" s="68"/>
      <c r="Y257" s="20" t="s">
        <v>57</v>
      </c>
      <c r="Z257" s="68"/>
      <c r="AA257" s="28">
        <v>46268.0</v>
      </c>
      <c r="AB257" s="29"/>
      <c r="AC257" s="30"/>
      <c r="AD257" s="68"/>
      <c r="AE257" s="71"/>
      <c r="AF257" s="71"/>
      <c r="AG257" s="71"/>
      <c r="AH257" s="69"/>
      <c r="AI257" s="69"/>
    </row>
    <row r="258" ht="19.5" customHeight="1">
      <c r="A258" s="20">
        <v>257.0</v>
      </c>
      <c r="B258" s="20">
        <f t="shared" si="1"/>
        <v>257</v>
      </c>
      <c r="C258" s="20" t="s">
        <v>738</v>
      </c>
      <c r="D258" s="20" t="s">
        <v>739</v>
      </c>
      <c r="E258" s="20" t="s">
        <v>45</v>
      </c>
      <c r="F258" s="20" t="s">
        <v>47</v>
      </c>
      <c r="G258" s="21" t="s">
        <v>831</v>
      </c>
      <c r="H258" s="33" t="s">
        <v>832</v>
      </c>
      <c r="I258" s="20" t="s">
        <v>742</v>
      </c>
      <c r="J258" s="75">
        <v>46295.0</v>
      </c>
      <c r="K258" s="75">
        <v>46299.0</v>
      </c>
      <c r="L258" s="67"/>
      <c r="M258" s="67"/>
      <c r="N258" s="20" t="s">
        <v>833</v>
      </c>
      <c r="O258" s="68"/>
      <c r="P258" s="20" t="s">
        <v>85</v>
      </c>
      <c r="Q258" s="20" t="s">
        <v>251</v>
      </c>
      <c r="R258" s="68"/>
      <c r="S258" s="71"/>
      <c r="T258" s="68"/>
      <c r="U258" s="69"/>
      <c r="V258" s="68"/>
      <c r="W258" s="70"/>
      <c r="X258" s="68"/>
      <c r="Y258" s="20" t="s">
        <v>57</v>
      </c>
      <c r="Z258" s="68"/>
      <c r="AA258" s="28">
        <v>46268.0</v>
      </c>
      <c r="AB258" s="29"/>
      <c r="AC258" s="30"/>
      <c r="AD258" s="68"/>
      <c r="AE258" s="71"/>
      <c r="AF258" s="71"/>
      <c r="AG258" s="71"/>
      <c r="AH258" s="69"/>
      <c r="AI258" s="69"/>
    </row>
    <row r="259" ht="19.5" customHeight="1">
      <c r="A259" s="20">
        <v>258.0</v>
      </c>
      <c r="B259" s="20">
        <f t="shared" si="1"/>
        <v>258</v>
      </c>
      <c r="C259" s="20" t="s">
        <v>738</v>
      </c>
      <c r="D259" s="20" t="s">
        <v>739</v>
      </c>
      <c r="E259" s="20" t="s">
        <v>45</v>
      </c>
      <c r="F259" s="20" t="s">
        <v>47</v>
      </c>
      <c r="G259" s="21" t="s">
        <v>834</v>
      </c>
      <c r="H259" s="33" t="s">
        <v>835</v>
      </c>
      <c r="I259" s="20" t="s">
        <v>752</v>
      </c>
      <c r="J259" s="75">
        <v>46295.0</v>
      </c>
      <c r="K259" s="75">
        <v>46299.0</v>
      </c>
      <c r="L259" s="67"/>
      <c r="M259" s="67"/>
      <c r="N259" s="20" t="s">
        <v>836</v>
      </c>
      <c r="O259" s="68"/>
      <c r="P259" s="20" t="s">
        <v>85</v>
      </c>
      <c r="Q259" s="20" t="s">
        <v>251</v>
      </c>
      <c r="R259" s="68"/>
      <c r="S259" s="71"/>
      <c r="T259" s="68"/>
      <c r="U259" s="69"/>
      <c r="V259" s="68"/>
      <c r="W259" s="70"/>
      <c r="X259" s="68"/>
      <c r="Y259" s="20" t="s">
        <v>57</v>
      </c>
      <c r="Z259" s="68"/>
      <c r="AA259" s="28">
        <v>46268.0</v>
      </c>
      <c r="AB259" s="29"/>
      <c r="AC259" s="30"/>
      <c r="AD259" s="68"/>
      <c r="AE259" s="71"/>
      <c r="AF259" s="71"/>
      <c r="AG259" s="71"/>
      <c r="AH259" s="69"/>
      <c r="AI259" s="69"/>
    </row>
    <row r="260" ht="19.5" customHeight="1">
      <c r="A260" s="20">
        <v>259.0</v>
      </c>
      <c r="B260" s="20">
        <f t="shared" si="1"/>
        <v>259</v>
      </c>
      <c r="C260" s="20" t="s">
        <v>738</v>
      </c>
      <c r="D260" s="20" t="s">
        <v>739</v>
      </c>
      <c r="E260" s="20" t="s">
        <v>45</v>
      </c>
      <c r="F260" s="20" t="s">
        <v>47</v>
      </c>
      <c r="G260" s="21" t="s">
        <v>837</v>
      </c>
      <c r="H260" s="33" t="s">
        <v>838</v>
      </c>
      <c r="I260" s="20" t="s">
        <v>742</v>
      </c>
      <c r="J260" s="75">
        <v>46309.0</v>
      </c>
      <c r="K260" s="75">
        <v>46320.0</v>
      </c>
      <c r="L260" s="67"/>
      <c r="M260" s="67"/>
      <c r="N260" s="20" t="s">
        <v>839</v>
      </c>
      <c r="O260" s="68"/>
      <c r="P260" s="20" t="s">
        <v>55</v>
      </c>
      <c r="Q260" s="20" t="s">
        <v>251</v>
      </c>
      <c r="R260" s="68"/>
      <c r="S260" s="71"/>
      <c r="T260" s="68"/>
      <c r="U260" s="69"/>
      <c r="V260" s="68"/>
      <c r="W260" s="70"/>
      <c r="X260" s="68"/>
      <c r="Y260" s="20" t="s">
        <v>57</v>
      </c>
      <c r="Z260" s="68"/>
      <c r="AA260" s="28">
        <v>46268.0</v>
      </c>
      <c r="AB260" s="29"/>
      <c r="AC260" s="30"/>
      <c r="AD260" s="68"/>
      <c r="AE260" s="71"/>
      <c r="AF260" s="71"/>
      <c r="AG260" s="71"/>
      <c r="AH260" s="69"/>
      <c r="AI260" s="69"/>
    </row>
    <row r="261" ht="19.5" customHeight="1">
      <c r="A261" s="20">
        <v>260.0</v>
      </c>
      <c r="B261" s="20">
        <f t="shared" si="1"/>
        <v>260</v>
      </c>
      <c r="C261" s="20" t="s">
        <v>738</v>
      </c>
      <c r="D261" s="20" t="s">
        <v>739</v>
      </c>
      <c r="E261" s="20" t="s">
        <v>45</v>
      </c>
      <c r="F261" s="20" t="s">
        <v>47</v>
      </c>
      <c r="G261" s="21" t="s">
        <v>840</v>
      </c>
      <c r="H261" s="33" t="s">
        <v>841</v>
      </c>
      <c r="I261" s="20" t="s">
        <v>742</v>
      </c>
      <c r="J261" s="75">
        <v>46309.0</v>
      </c>
      <c r="K261" s="75">
        <v>46320.0</v>
      </c>
      <c r="L261" s="67"/>
      <c r="M261" s="67"/>
      <c r="N261" s="20" t="s">
        <v>842</v>
      </c>
      <c r="O261" s="68"/>
      <c r="P261" s="20" t="s">
        <v>55</v>
      </c>
      <c r="Q261" s="20" t="s">
        <v>251</v>
      </c>
      <c r="R261" s="68"/>
      <c r="S261" s="71"/>
      <c r="T261" s="68"/>
      <c r="U261" s="69"/>
      <c r="V261" s="68"/>
      <c r="W261" s="70"/>
      <c r="X261" s="68"/>
      <c r="Y261" s="20" t="s">
        <v>57</v>
      </c>
      <c r="Z261" s="68"/>
      <c r="AA261" s="28">
        <v>46268.0</v>
      </c>
      <c r="AB261" s="29"/>
      <c r="AC261" s="30"/>
      <c r="AD261" s="68"/>
      <c r="AE261" s="71"/>
      <c r="AF261" s="71"/>
      <c r="AG261" s="71"/>
      <c r="AH261" s="69"/>
      <c r="AI261" s="69"/>
    </row>
    <row r="262" ht="19.5" customHeight="1">
      <c r="A262" s="20">
        <v>261.0</v>
      </c>
      <c r="B262" s="20">
        <f t="shared" si="1"/>
        <v>261</v>
      </c>
      <c r="C262" s="20" t="s">
        <v>738</v>
      </c>
      <c r="D262" s="20" t="s">
        <v>739</v>
      </c>
      <c r="E262" s="20" t="s">
        <v>45</v>
      </c>
      <c r="F262" s="20" t="s">
        <v>47</v>
      </c>
      <c r="G262" s="20" t="s">
        <v>843</v>
      </c>
      <c r="H262" s="22" t="s">
        <v>844</v>
      </c>
      <c r="I262" s="20" t="s">
        <v>742</v>
      </c>
      <c r="J262" s="75">
        <v>46309.0</v>
      </c>
      <c r="K262" s="75">
        <v>46320.0</v>
      </c>
      <c r="L262" s="67"/>
      <c r="M262" s="67"/>
      <c r="N262" s="20" t="s">
        <v>845</v>
      </c>
      <c r="O262" s="68"/>
      <c r="P262" s="20" t="s">
        <v>55</v>
      </c>
      <c r="Q262" s="20" t="s">
        <v>251</v>
      </c>
      <c r="R262" s="68"/>
      <c r="S262" s="71"/>
      <c r="T262" s="68"/>
      <c r="U262" s="69"/>
      <c r="V262" s="68"/>
      <c r="W262" s="70"/>
      <c r="X262" s="68"/>
      <c r="Y262" s="20" t="s">
        <v>57</v>
      </c>
      <c r="Z262" s="68"/>
      <c r="AA262" s="28">
        <v>46268.0</v>
      </c>
      <c r="AB262" s="29"/>
      <c r="AC262" s="30"/>
      <c r="AD262" s="68"/>
      <c r="AE262" s="71"/>
      <c r="AF262" s="71"/>
      <c r="AG262" s="71"/>
      <c r="AH262" s="69"/>
      <c r="AI262" s="69"/>
    </row>
    <row r="263" ht="19.5" customHeight="1">
      <c r="A263" s="20">
        <v>262.0</v>
      </c>
      <c r="B263" s="20">
        <f t="shared" si="1"/>
        <v>262</v>
      </c>
      <c r="C263" s="20" t="s">
        <v>738</v>
      </c>
      <c r="D263" s="20" t="s">
        <v>739</v>
      </c>
      <c r="E263" s="20" t="s">
        <v>45</v>
      </c>
      <c r="F263" s="20" t="s">
        <v>47</v>
      </c>
      <c r="G263" s="20" t="s">
        <v>846</v>
      </c>
      <c r="H263" s="22" t="s">
        <v>847</v>
      </c>
      <c r="I263" s="20" t="s">
        <v>752</v>
      </c>
      <c r="J263" s="75">
        <v>46309.0</v>
      </c>
      <c r="K263" s="75">
        <v>46320.0</v>
      </c>
      <c r="L263" s="67"/>
      <c r="M263" s="67"/>
      <c r="N263" s="20" t="s">
        <v>848</v>
      </c>
      <c r="O263" s="68"/>
      <c r="P263" s="20" t="s">
        <v>55</v>
      </c>
      <c r="Q263" s="20" t="s">
        <v>251</v>
      </c>
      <c r="R263" s="68"/>
      <c r="S263" s="71"/>
      <c r="T263" s="68"/>
      <c r="U263" s="69"/>
      <c r="V263" s="68"/>
      <c r="W263" s="70"/>
      <c r="X263" s="68"/>
      <c r="Y263" s="20" t="s">
        <v>57</v>
      </c>
      <c r="Z263" s="68"/>
      <c r="AA263" s="28">
        <v>46268.0</v>
      </c>
      <c r="AB263" s="29"/>
      <c r="AC263" s="30"/>
      <c r="AD263" s="68"/>
      <c r="AE263" s="71"/>
      <c r="AF263" s="71"/>
      <c r="AG263" s="71"/>
      <c r="AH263" s="69"/>
      <c r="AI263" s="69"/>
    </row>
    <row r="264" ht="19.5" customHeight="1">
      <c r="A264" s="20">
        <v>263.0</v>
      </c>
      <c r="B264" s="20">
        <f t="shared" si="1"/>
        <v>263</v>
      </c>
      <c r="C264" s="20" t="s">
        <v>738</v>
      </c>
      <c r="D264" s="20" t="s">
        <v>739</v>
      </c>
      <c r="E264" s="20" t="s">
        <v>45</v>
      </c>
      <c r="F264" s="20" t="s">
        <v>47</v>
      </c>
      <c r="G264" s="20" t="s">
        <v>849</v>
      </c>
      <c r="H264" s="22" t="s">
        <v>850</v>
      </c>
      <c r="I264" s="20" t="s">
        <v>752</v>
      </c>
      <c r="J264" s="75">
        <v>46309.0</v>
      </c>
      <c r="K264" s="75">
        <v>46320.0</v>
      </c>
      <c r="L264" s="67"/>
      <c r="M264" s="67"/>
      <c r="N264" s="20" t="s">
        <v>848</v>
      </c>
      <c r="O264" s="68"/>
      <c r="P264" s="20" t="s">
        <v>55</v>
      </c>
      <c r="Q264" s="20" t="s">
        <v>251</v>
      </c>
      <c r="R264" s="68"/>
      <c r="S264" s="71"/>
      <c r="T264" s="68"/>
      <c r="U264" s="69"/>
      <c r="V264" s="68"/>
      <c r="W264" s="70"/>
      <c r="X264" s="68"/>
      <c r="Y264" s="20" t="s">
        <v>57</v>
      </c>
      <c r="Z264" s="68"/>
      <c r="AA264" s="28">
        <v>46268.0</v>
      </c>
      <c r="AB264" s="29"/>
      <c r="AC264" s="30"/>
      <c r="AD264" s="68"/>
      <c r="AE264" s="71"/>
      <c r="AF264" s="71"/>
      <c r="AG264" s="71"/>
      <c r="AH264" s="69"/>
      <c r="AI264" s="69"/>
    </row>
    <row r="265" ht="19.5" customHeight="1">
      <c r="A265" s="20">
        <v>264.0</v>
      </c>
      <c r="B265" s="20">
        <f t="shared" si="1"/>
        <v>264</v>
      </c>
      <c r="C265" s="20" t="s">
        <v>738</v>
      </c>
      <c r="D265" s="20" t="s">
        <v>739</v>
      </c>
      <c r="E265" s="20" t="s">
        <v>45</v>
      </c>
      <c r="F265" s="20" t="s">
        <v>47</v>
      </c>
      <c r="G265" s="20" t="s">
        <v>851</v>
      </c>
      <c r="H265" s="22" t="s">
        <v>852</v>
      </c>
      <c r="I265" s="20" t="s">
        <v>752</v>
      </c>
      <c r="J265" s="75">
        <v>46309.0</v>
      </c>
      <c r="K265" s="75">
        <v>46320.0</v>
      </c>
      <c r="L265" s="67"/>
      <c r="M265" s="67"/>
      <c r="N265" s="20" t="s">
        <v>853</v>
      </c>
      <c r="O265" s="68"/>
      <c r="P265" s="20" t="s">
        <v>55</v>
      </c>
      <c r="Q265" s="20" t="s">
        <v>251</v>
      </c>
      <c r="R265" s="68"/>
      <c r="S265" s="71"/>
      <c r="T265" s="68"/>
      <c r="U265" s="69"/>
      <c r="V265" s="68"/>
      <c r="W265" s="70"/>
      <c r="X265" s="68"/>
      <c r="Y265" s="20" t="s">
        <v>57</v>
      </c>
      <c r="Z265" s="68"/>
      <c r="AA265" s="28">
        <v>46268.0</v>
      </c>
      <c r="AB265" s="29"/>
      <c r="AC265" s="30"/>
      <c r="AD265" s="68"/>
      <c r="AE265" s="71"/>
      <c r="AF265" s="71"/>
      <c r="AG265" s="71"/>
      <c r="AH265" s="69"/>
      <c r="AI265" s="69"/>
    </row>
    <row r="266" ht="19.5" customHeight="1">
      <c r="A266" s="20">
        <v>265.0</v>
      </c>
      <c r="B266" s="20">
        <f t="shared" si="1"/>
        <v>265</v>
      </c>
      <c r="C266" s="20" t="s">
        <v>738</v>
      </c>
      <c r="D266" s="20" t="s">
        <v>739</v>
      </c>
      <c r="E266" s="20" t="s">
        <v>45</v>
      </c>
      <c r="F266" s="20" t="s">
        <v>47</v>
      </c>
      <c r="G266" s="20" t="s">
        <v>854</v>
      </c>
      <c r="H266" s="22" t="s">
        <v>855</v>
      </c>
      <c r="I266" s="20" t="s">
        <v>752</v>
      </c>
      <c r="J266" s="75">
        <v>46309.0</v>
      </c>
      <c r="K266" s="75">
        <v>46320.0</v>
      </c>
      <c r="L266" s="67"/>
      <c r="M266" s="67"/>
      <c r="N266" s="20" t="s">
        <v>856</v>
      </c>
      <c r="O266" s="68"/>
      <c r="P266" s="20" t="s">
        <v>55</v>
      </c>
      <c r="Q266" s="20" t="s">
        <v>251</v>
      </c>
      <c r="R266" s="68"/>
      <c r="S266" s="71"/>
      <c r="T266" s="68"/>
      <c r="U266" s="69"/>
      <c r="V266" s="68"/>
      <c r="W266" s="70"/>
      <c r="X266" s="68"/>
      <c r="Y266" s="20" t="s">
        <v>57</v>
      </c>
      <c r="Z266" s="68"/>
      <c r="AA266" s="28">
        <v>46268.0</v>
      </c>
      <c r="AB266" s="29"/>
      <c r="AC266" s="30"/>
      <c r="AD266" s="68"/>
      <c r="AE266" s="71"/>
      <c r="AF266" s="71"/>
      <c r="AG266" s="71"/>
      <c r="AH266" s="69"/>
      <c r="AI266" s="69"/>
    </row>
    <row r="267" ht="19.5" customHeight="1">
      <c r="A267" s="20">
        <v>266.0</v>
      </c>
      <c r="B267" s="20">
        <f t="shared" si="1"/>
        <v>266</v>
      </c>
      <c r="C267" s="20" t="s">
        <v>738</v>
      </c>
      <c r="D267" s="20" t="s">
        <v>739</v>
      </c>
      <c r="E267" s="20" t="s">
        <v>45</v>
      </c>
      <c r="F267" s="20" t="s">
        <v>47</v>
      </c>
      <c r="G267" s="20" t="s">
        <v>857</v>
      </c>
      <c r="H267" s="22" t="s">
        <v>858</v>
      </c>
      <c r="I267" s="20" t="s">
        <v>742</v>
      </c>
      <c r="J267" s="75">
        <v>46344.0</v>
      </c>
      <c r="K267" s="75">
        <v>46348.0</v>
      </c>
      <c r="L267" s="67"/>
      <c r="M267" s="67"/>
      <c r="N267" s="20" t="s">
        <v>859</v>
      </c>
      <c r="O267" s="68"/>
      <c r="P267" s="20" t="s">
        <v>76</v>
      </c>
      <c r="Q267" s="20" t="s">
        <v>251</v>
      </c>
      <c r="R267" s="68"/>
      <c r="S267" s="71"/>
      <c r="T267" s="68"/>
      <c r="U267" s="69"/>
      <c r="V267" s="68"/>
      <c r="W267" s="70"/>
      <c r="X267" s="68"/>
      <c r="Y267" s="20" t="s">
        <v>57</v>
      </c>
      <c r="Z267" s="68"/>
      <c r="AA267" s="28">
        <v>46268.0</v>
      </c>
      <c r="AB267" s="29"/>
      <c r="AC267" s="30"/>
      <c r="AD267" s="68"/>
      <c r="AE267" s="71"/>
      <c r="AF267" s="71"/>
      <c r="AG267" s="71"/>
      <c r="AH267" s="69"/>
      <c r="AI267" s="69"/>
    </row>
    <row r="268" ht="19.5" customHeight="1">
      <c r="A268" s="20">
        <v>267.0</v>
      </c>
      <c r="B268" s="20">
        <f t="shared" si="1"/>
        <v>267</v>
      </c>
      <c r="C268" s="20" t="s">
        <v>738</v>
      </c>
      <c r="D268" s="20" t="s">
        <v>739</v>
      </c>
      <c r="E268" s="20" t="s">
        <v>45</v>
      </c>
      <c r="F268" s="20" t="s">
        <v>47</v>
      </c>
      <c r="G268" s="20" t="s">
        <v>860</v>
      </c>
      <c r="H268" s="22" t="s">
        <v>861</v>
      </c>
      <c r="I268" s="20" t="s">
        <v>742</v>
      </c>
      <c r="J268" s="75">
        <v>46344.0</v>
      </c>
      <c r="K268" s="75">
        <v>46348.0</v>
      </c>
      <c r="L268" s="67"/>
      <c r="M268" s="67"/>
      <c r="N268" s="20" t="s">
        <v>862</v>
      </c>
      <c r="O268" s="68"/>
      <c r="P268" s="20" t="s">
        <v>76</v>
      </c>
      <c r="Q268" s="20" t="s">
        <v>251</v>
      </c>
      <c r="R268" s="68"/>
      <c r="S268" s="71"/>
      <c r="T268" s="68"/>
      <c r="U268" s="69"/>
      <c r="V268" s="68"/>
      <c r="W268" s="70"/>
      <c r="X268" s="68"/>
      <c r="Y268" s="20" t="s">
        <v>57</v>
      </c>
      <c r="Z268" s="68"/>
      <c r="AA268" s="28">
        <v>46268.0</v>
      </c>
      <c r="AB268" s="29"/>
      <c r="AC268" s="30"/>
      <c r="AD268" s="68"/>
      <c r="AE268" s="71"/>
      <c r="AF268" s="71"/>
      <c r="AG268" s="71"/>
      <c r="AH268" s="69"/>
      <c r="AI268" s="69"/>
    </row>
    <row r="269" ht="19.5" customHeight="1">
      <c r="A269" s="20">
        <v>268.0</v>
      </c>
      <c r="B269" s="20">
        <f t="shared" si="1"/>
        <v>268</v>
      </c>
      <c r="C269" s="20" t="s">
        <v>738</v>
      </c>
      <c r="D269" s="20" t="s">
        <v>739</v>
      </c>
      <c r="E269" s="20" t="s">
        <v>45</v>
      </c>
      <c r="F269" s="20" t="s">
        <v>47</v>
      </c>
      <c r="G269" s="20" t="s">
        <v>863</v>
      </c>
      <c r="H269" s="22" t="s">
        <v>864</v>
      </c>
      <c r="I269" s="20" t="s">
        <v>752</v>
      </c>
      <c r="J269" s="75">
        <v>46267.0</v>
      </c>
      <c r="K269" s="75">
        <v>46271.0</v>
      </c>
      <c r="L269" s="67"/>
      <c r="M269" s="67"/>
      <c r="N269" s="20" t="s">
        <v>865</v>
      </c>
      <c r="O269" s="68"/>
      <c r="P269" s="20" t="s">
        <v>55</v>
      </c>
      <c r="Q269" s="20" t="s">
        <v>251</v>
      </c>
      <c r="R269" s="68"/>
      <c r="S269" s="71"/>
      <c r="T269" s="68"/>
      <c r="U269" s="69"/>
      <c r="V269" s="68"/>
      <c r="W269" s="70"/>
      <c r="X269" s="68"/>
      <c r="Y269" s="20" t="s">
        <v>57</v>
      </c>
      <c r="Z269" s="68"/>
      <c r="AA269" s="28">
        <v>46268.0</v>
      </c>
      <c r="AB269" s="29"/>
      <c r="AC269" s="30"/>
      <c r="AD269" s="68"/>
      <c r="AE269" s="71"/>
      <c r="AF269" s="71"/>
      <c r="AG269" s="71"/>
      <c r="AH269" s="69"/>
      <c r="AI269" s="69"/>
    </row>
    <row r="270" ht="19.5" customHeight="1">
      <c r="A270" s="20">
        <v>269.0</v>
      </c>
      <c r="B270" s="20">
        <f t="shared" si="1"/>
        <v>269</v>
      </c>
      <c r="C270" s="20" t="s">
        <v>738</v>
      </c>
      <c r="D270" s="20" t="s">
        <v>739</v>
      </c>
      <c r="E270" s="20" t="s">
        <v>866</v>
      </c>
      <c r="F270" s="20" t="s">
        <v>866</v>
      </c>
      <c r="G270" s="20" t="s">
        <v>867</v>
      </c>
      <c r="H270" s="22" t="s">
        <v>868</v>
      </c>
      <c r="I270" s="20" t="s">
        <v>752</v>
      </c>
      <c r="J270" s="75">
        <v>46323.0</v>
      </c>
      <c r="K270" s="75">
        <v>46334.0</v>
      </c>
      <c r="L270" s="67"/>
      <c r="M270" s="67"/>
      <c r="N270" s="68"/>
      <c r="O270" s="68"/>
      <c r="P270" s="20" t="s">
        <v>76</v>
      </c>
      <c r="Q270" s="20" t="s">
        <v>251</v>
      </c>
      <c r="R270" s="68"/>
      <c r="S270" s="71"/>
      <c r="T270" s="68"/>
      <c r="U270" s="33" t="s">
        <v>869</v>
      </c>
      <c r="V270" s="68"/>
      <c r="W270" s="70"/>
      <c r="X270" s="68"/>
      <c r="Y270" s="68"/>
      <c r="Z270" s="68"/>
      <c r="AA270" s="29"/>
      <c r="AB270" s="29"/>
      <c r="AC270" s="30"/>
      <c r="AD270" s="68"/>
      <c r="AE270" s="71"/>
      <c r="AF270" s="71"/>
      <c r="AG270" s="71"/>
      <c r="AH270" s="69"/>
      <c r="AI270" s="69"/>
    </row>
    <row r="271" ht="19.5" customHeight="1">
      <c r="A271" s="20">
        <v>270.0</v>
      </c>
      <c r="B271" s="20">
        <f t="shared" si="1"/>
        <v>270</v>
      </c>
      <c r="C271" s="20" t="s">
        <v>738</v>
      </c>
      <c r="D271" s="20" t="s">
        <v>739</v>
      </c>
      <c r="E271" s="20" t="s">
        <v>866</v>
      </c>
      <c r="F271" s="20" t="s">
        <v>866</v>
      </c>
      <c r="G271" s="20" t="s">
        <v>870</v>
      </c>
      <c r="H271" s="22" t="s">
        <v>871</v>
      </c>
      <c r="I271" s="20" t="s">
        <v>752</v>
      </c>
      <c r="J271" s="75">
        <v>46309.0</v>
      </c>
      <c r="K271" s="75">
        <v>46320.0</v>
      </c>
      <c r="L271" s="67"/>
      <c r="M271" s="67"/>
      <c r="N271" s="68"/>
      <c r="O271" s="68"/>
      <c r="P271" s="20" t="s">
        <v>76</v>
      </c>
      <c r="Q271" s="20" t="s">
        <v>251</v>
      </c>
      <c r="R271" s="68"/>
      <c r="S271" s="71"/>
      <c r="T271" s="68"/>
      <c r="U271" s="33" t="s">
        <v>872</v>
      </c>
      <c r="V271" s="68"/>
      <c r="W271" s="70"/>
      <c r="X271" s="68"/>
      <c r="Y271" s="68"/>
      <c r="Z271" s="68"/>
      <c r="AA271" s="29"/>
      <c r="AB271" s="29"/>
      <c r="AC271" s="30"/>
      <c r="AD271" s="68"/>
      <c r="AE271" s="71"/>
      <c r="AF271" s="71"/>
      <c r="AG271" s="71"/>
      <c r="AH271" s="69"/>
      <c r="AI271" s="69"/>
    </row>
    <row r="272" ht="19.5" customHeight="1">
      <c r="A272" s="20">
        <v>271.0</v>
      </c>
      <c r="B272" s="20">
        <f t="shared" si="1"/>
        <v>271</v>
      </c>
      <c r="C272" s="20" t="s">
        <v>738</v>
      </c>
      <c r="D272" s="20" t="s">
        <v>739</v>
      </c>
      <c r="E272" s="20" t="s">
        <v>866</v>
      </c>
      <c r="F272" s="20" t="s">
        <v>866</v>
      </c>
      <c r="G272" s="20" t="s">
        <v>873</v>
      </c>
      <c r="H272" s="22" t="s">
        <v>874</v>
      </c>
      <c r="I272" s="20" t="s">
        <v>752</v>
      </c>
      <c r="J272" s="75">
        <v>46337.0</v>
      </c>
      <c r="K272" s="75">
        <v>46341.0</v>
      </c>
      <c r="L272" s="67"/>
      <c r="M272" s="67"/>
      <c r="N272" s="68"/>
      <c r="O272" s="68"/>
      <c r="P272" s="20" t="s">
        <v>76</v>
      </c>
      <c r="Q272" s="20" t="s">
        <v>251</v>
      </c>
      <c r="R272" s="68"/>
      <c r="S272" s="71"/>
      <c r="T272" s="68"/>
      <c r="U272" s="33" t="s">
        <v>875</v>
      </c>
      <c r="V272" s="68"/>
      <c r="W272" s="70"/>
      <c r="X272" s="68"/>
      <c r="Y272" s="68"/>
      <c r="Z272" s="68"/>
      <c r="AA272" s="29"/>
      <c r="AB272" s="29"/>
      <c r="AC272" s="30"/>
      <c r="AD272" s="68"/>
      <c r="AE272" s="71"/>
      <c r="AF272" s="71"/>
      <c r="AG272" s="71"/>
      <c r="AH272" s="69"/>
      <c r="AI272" s="69"/>
    </row>
    <row r="273" ht="19.5" customHeight="1">
      <c r="A273" s="20">
        <v>272.0</v>
      </c>
      <c r="B273" s="20">
        <f t="shared" si="1"/>
        <v>272</v>
      </c>
      <c r="C273" s="20" t="s">
        <v>738</v>
      </c>
      <c r="D273" s="20" t="s">
        <v>739</v>
      </c>
      <c r="E273" s="20" t="s">
        <v>866</v>
      </c>
      <c r="F273" s="20" t="s">
        <v>866</v>
      </c>
      <c r="G273" s="20" t="s">
        <v>876</v>
      </c>
      <c r="H273" s="33" t="s">
        <v>877</v>
      </c>
      <c r="I273" s="20" t="s">
        <v>742</v>
      </c>
      <c r="J273" s="75">
        <v>46323.0</v>
      </c>
      <c r="K273" s="75">
        <v>46334.0</v>
      </c>
      <c r="L273" s="67"/>
      <c r="M273" s="67"/>
      <c r="N273" s="68"/>
      <c r="O273" s="68"/>
      <c r="P273" s="20" t="s">
        <v>76</v>
      </c>
      <c r="Q273" s="20" t="s">
        <v>251</v>
      </c>
      <c r="R273" s="68"/>
      <c r="S273" s="71"/>
      <c r="T273" s="68"/>
      <c r="U273" s="33" t="s">
        <v>878</v>
      </c>
      <c r="V273" s="68"/>
      <c r="W273" s="70"/>
      <c r="X273" s="68"/>
      <c r="Y273" s="68"/>
      <c r="Z273" s="68"/>
      <c r="AA273" s="29"/>
      <c r="AB273" s="29"/>
      <c r="AC273" s="30"/>
      <c r="AD273" s="68"/>
      <c r="AE273" s="71"/>
      <c r="AF273" s="71"/>
      <c r="AG273" s="71"/>
      <c r="AH273" s="69"/>
      <c r="AI273" s="69"/>
    </row>
    <row r="274" ht="19.5" customHeight="1">
      <c r="A274" s="20">
        <v>273.0</v>
      </c>
      <c r="B274" s="20">
        <f t="shared" si="1"/>
        <v>273</v>
      </c>
      <c r="C274" s="20" t="s">
        <v>738</v>
      </c>
      <c r="D274" s="20" t="s">
        <v>739</v>
      </c>
      <c r="E274" s="20" t="s">
        <v>866</v>
      </c>
      <c r="F274" s="20" t="s">
        <v>866</v>
      </c>
      <c r="G274" s="20" t="s">
        <v>879</v>
      </c>
      <c r="H274" s="33" t="s">
        <v>880</v>
      </c>
      <c r="I274" s="20" t="s">
        <v>742</v>
      </c>
      <c r="J274" s="75">
        <v>46309.0</v>
      </c>
      <c r="K274" s="75">
        <v>46320.0</v>
      </c>
      <c r="L274" s="67"/>
      <c r="M274" s="67"/>
      <c r="N274" s="68"/>
      <c r="O274" s="68"/>
      <c r="P274" s="20" t="s">
        <v>55</v>
      </c>
      <c r="Q274" s="20" t="s">
        <v>251</v>
      </c>
      <c r="R274" s="68"/>
      <c r="S274" s="71"/>
      <c r="T274" s="68"/>
      <c r="U274" s="33" t="s">
        <v>881</v>
      </c>
      <c r="V274" s="68"/>
      <c r="W274" s="70"/>
      <c r="X274" s="68"/>
      <c r="Y274" s="68"/>
      <c r="Z274" s="68"/>
      <c r="AA274" s="29"/>
      <c r="AB274" s="29"/>
      <c r="AC274" s="30"/>
      <c r="AD274" s="68"/>
      <c r="AE274" s="71"/>
      <c r="AF274" s="71"/>
      <c r="AG274" s="71"/>
      <c r="AH274" s="69"/>
      <c r="AI274" s="69"/>
    </row>
    <row r="275" ht="19.5" customHeight="1">
      <c r="A275" s="20">
        <v>274.0</v>
      </c>
      <c r="B275" s="20">
        <f t="shared" si="1"/>
        <v>274</v>
      </c>
      <c r="C275" s="20" t="s">
        <v>738</v>
      </c>
      <c r="D275" s="20" t="s">
        <v>882</v>
      </c>
      <c r="E275" s="20" t="s">
        <v>883</v>
      </c>
      <c r="F275" s="20" t="s">
        <v>883</v>
      </c>
      <c r="G275" s="20" t="s">
        <v>884</v>
      </c>
      <c r="H275" s="22" t="s">
        <v>885</v>
      </c>
      <c r="I275" s="68"/>
      <c r="J275" s="71"/>
      <c r="K275" s="71"/>
      <c r="L275" s="67"/>
      <c r="M275" s="67"/>
      <c r="N275" s="68"/>
      <c r="O275" s="68"/>
      <c r="P275" s="68"/>
      <c r="Q275" s="20" t="s">
        <v>886</v>
      </c>
      <c r="R275" s="68"/>
      <c r="S275" s="71"/>
      <c r="T275" s="68"/>
      <c r="U275" s="26"/>
      <c r="V275" s="68"/>
      <c r="W275" s="70"/>
      <c r="X275" s="68"/>
      <c r="Y275" s="68"/>
      <c r="Z275" s="68"/>
      <c r="AA275" s="29"/>
      <c r="AB275" s="29"/>
      <c r="AC275" s="30"/>
      <c r="AD275" s="68"/>
      <c r="AE275" s="71"/>
      <c r="AF275" s="71"/>
      <c r="AG275" s="71"/>
      <c r="AH275" s="69"/>
      <c r="AI275" s="69"/>
    </row>
    <row r="276" ht="19.5" customHeight="1">
      <c r="A276" s="20">
        <v>275.0</v>
      </c>
      <c r="B276" s="20">
        <f t="shared" si="1"/>
        <v>275</v>
      </c>
      <c r="C276" s="20" t="s">
        <v>738</v>
      </c>
      <c r="D276" s="20" t="s">
        <v>882</v>
      </c>
      <c r="E276" s="20" t="s">
        <v>883</v>
      </c>
      <c r="F276" s="20" t="s">
        <v>883</v>
      </c>
      <c r="G276" s="20" t="s">
        <v>887</v>
      </c>
      <c r="H276" s="22" t="s">
        <v>888</v>
      </c>
      <c r="I276" s="68"/>
      <c r="J276" s="71"/>
      <c r="K276" s="71"/>
      <c r="L276" s="67"/>
      <c r="M276" s="67"/>
      <c r="N276" s="68"/>
      <c r="O276" s="68"/>
      <c r="P276" s="68"/>
      <c r="Q276" s="20" t="s">
        <v>886</v>
      </c>
      <c r="R276" s="68"/>
      <c r="S276" s="71"/>
      <c r="T276" s="68"/>
      <c r="U276" s="26"/>
      <c r="V276" s="68"/>
      <c r="W276" s="70"/>
      <c r="X276" s="68"/>
      <c r="Y276" s="68"/>
      <c r="Z276" s="68"/>
      <c r="AA276" s="29"/>
      <c r="AB276" s="29"/>
      <c r="AC276" s="30"/>
      <c r="AD276" s="68"/>
      <c r="AE276" s="71"/>
      <c r="AF276" s="71"/>
      <c r="AG276" s="71"/>
      <c r="AH276" s="69"/>
      <c r="AI276" s="69"/>
    </row>
    <row r="277" ht="19.5" customHeight="1">
      <c r="A277" s="20">
        <v>276.0</v>
      </c>
      <c r="B277" s="20">
        <f t="shared" si="1"/>
        <v>276</v>
      </c>
      <c r="C277" s="20" t="s">
        <v>738</v>
      </c>
      <c r="D277" s="20" t="s">
        <v>882</v>
      </c>
      <c r="E277" s="20" t="s">
        <v>883</v>
      </c>
      <c r="F277" s="20" t="s">
        <v>883</v>
      </c>
      <c r="G277" s="20" t="s">
        <v>889</v>
      </c>
      <c r="H277" s="22" t="s">
        <v>890</v>
      </c>
      <c r="I277" s="68"/>
      <c r="J277" s="71"/>
      <c r="K277" s="71"/>
      <c r="L277" s="67"/>
      <c r="M277" s="67"/>
      <c r="N277" s="68"/>
      <c r="O277" s="68"/>
      <c r="P277" s="68"/>
      <c r="Q277" s="20" t="s">
        <v>886</v>
      </c>
      <c r="R277" s="68"/>
      <c r="S277" s="71"/>
      <c r="T277" s="68"/>
      <c r="U277" s="26"/>
      <c r="V277" s="68"/>
      <c r="W277" s="70"/>
      <c r="X277" s="68"/>
      <c r="Y277" s="68"/>
      <c r="Z277" s="68"/>
      <c r="AA277" s="29"/>
      <c r="AB277" s="29"/>
      <c r="AC277" s="30"/>
      <c r="AD277" s="68"/>
      <c r="AE277" s="71"/>
      <c r="AF277" s="71"/>
      <c r="AG277" s="71"/>
      <c r="AH277" s="69"/>
      <c r="AI277" s="69"/>
    </row>
    <row r="278" ht="19.5" customHeight="1">
      <c r="A278" s="20">
        <v>277.0</v>
      </c>
      <c r="B278" s="20">
        <f t="shared" si="1"/>
        <v>277</v>
      </c>
      <c r="C278" s="20" t="s">
        <v>738</v>
      </c>
      <c r="D278" s="20" t="s">
        <v>882</v>
      </c>
      <c r="E278" s="20" t="s">
        <v>883</v>
      </c>
      <c r="F278" s="20" t="s">
        <v>883</v>
      </c>
      <c r="G278" s="20" t="s">
        <v>891</v>
      </c>
      <c r="H278" s="33" t="s">
        <v>892</v>
      </c>
      <c r="I278" s="68"/>
      <c r="J278" s="71"/>
      <c r="K278" s="71"/>
      <c r="L278" s="67"/>
      <c r="M278" s="67"/>
      <c r="N278" s="68"/>
      <c r="O278" s="68"/>
      <c r="P278" s="68"/>
      <c r="Q278" s="20" t="s">
        <v>886</v>
      </c>
      <c r="R278" s="68"/>
      <c r="S278" s="71"/>
      <c r="T278" s="68"/>
      <c r="U278" s="26"/>
      <c r="V278" s="68"/>
      <c r="W278" s="70"/>
      <c r="X278" s="68"/>
      <c r="Y278" s="68"/>
      <c r="Z278" s="68"/>
      <c r="AA278" s="29"/>
      <c r="AB278" s="29"/>
      <c r="AC278" s="30"/>
      <c r="AD278" s="68"/>
      <c r="AE278" s="71"/>
      <c r="AF278" s="71"/>
      <c r="AG278" s="71"/>
      <c r="AH278" s="69"/>
      <c r="AI278" s="69"/>
    </row>
    <row r="279" ht="19.5" customHeight="1">
      <c r="A279" s="20">
        <v>278.0</v>
      </c>
      <c r="B279" s="20">
        <f t="shared" si="1"/>
        <v>278</v>
      </c>
      <c r="C279" s="20" t="s">
        <v>738</v>
      </c>
      <c r="D279" s="20" t="s">
        <v>882</v>
      </c>
      <c r="E279" s="20" t="s">
        <v>883</v>
      </c>
      <c r="F279" s="20" t="s">
        <v>883</v>
      </c>
      <c r="G279" s="20" t="s">
        <v>893</v>
      </c>
      <c r="H279" s="33" t="s">
        <v>894</v>
      </c>
      <c r="I279" s="68"/>
      <c r="J279" s="71"/>
      <c r="K279" s="71"/>
      <c r="L279" s="67"/>
      <c r="M279" s="67"/>
      <c r="N279" s="68"/>
      <c r="O279" s="68"/>
      <c r="P279" s="68"/>
      <c r="Q279" s="20" t="s">
        <v>886</v>
      </c>
      <c r="R279" s="68"/>
      <c r="S279" s="71"/>
      <c r="T279" s="68"/>
      <c r="U279" s="33" t="s">
        <v>895</v>
      </c>
      <c r="V279" s="68"/>
      <c r="W279" s="70"/>
      <c r="X279" s="68"/>
      <c r="Y279" s="68"/>
      <c r="Z279" s="68"/>
      <c r="AA279" s="29"/>
      <c r="AB279" s="29"/>
      <c r="AC279" s="30"/>
      <c r="AD279" s="68"/>
      <c r="AE279" s="71"/>
      <c r="AF279" s="71"/>
      <c r="AG279" s="71"/>
      <c r="AH279" s="69"/>
      <c r="AI279" s="69"/>
    </row>
    <row r="280" ht="19.5" customHeight="1">
      <c r="A280" s="20">
        <v>279.0</v>
      </c>
      <c r="B280" s="20">
        <f t="shared" si="1"/>
        <v>279</v>
      </c>
      <c r="C280" s="20" t="s">
        <v>738</v>
      </c>
      <c r="D280" s="20" t="s">
        <v>882</v>
      </c>
      <c r="E280" s="20" t="s">
        <v>883</v>
      </c>
      <c r="F280" s="20" t="s">
        <v>883</v>
      </c>
      <c r="G280" s="20" t="s">
        <v>896</v>
      </c>
      <c r="H280" s="33" t="s">
        <v>897</v>
      </c>
      <c r="I280" s="68"/>
      <c r="J280" s="71"/>
      <c r="K280" s="71"/>
      <c r="L280" s="67"/>
      <c r="M280" s="67"/>
      <c r="N280" s="68"/>
      <c r="O280" s="68"/>
      <c r="P280" s="68"/>
      <c r="Q280" s="20" t="s">
        <v>886</v>
      </c>
      <c r="R280" s="68"/>
      <c r="S280" s="71"/>
      <c r="T280" s="68"/>
      <c r="U280" s="26"/>
      <c r="V280" s="68"/>
      <c r="W280" s="70"/>
      <c r="X280" s="68"/>
      <c r="Y280" s="68"/>
      <c r="Z280" s="68"/>
      <c r="AA280" s="29"/>
      <c r="AB280" s="29"/>
      <c r="AC280" s="30"/>
      <c r="AD280" s="68"/>
      <c r="AE280" s="71"/>
      <c r="AF280" s="71"/>
      <c r="AG280" s="71"/>
      <c r="AH280" s="69"/>
      <c r="AI280" s="69"/>
    </row>
    <row r="281" ht="19.5" customHeight="1">
      <c r="A281" s="20">
        <v>280.0</v>
      </c>
      <c r="B281" s="20">
        <f t="shared" si="1"/>
        <v>280</v>
      </c>
      <c r="C281" s="20" t="s">
        <v>738</v>
      </c>
      <c r="D281" s="20" t="s">
        <v>882</v>
      </c>
      <c r="E281" s="20" t="s">
        <v>883</v>
      </c>
      <c r="F281" s="20" t="s">
        <v>883</v>
      </c>
      <c r="G281" s="20" t="s">
        <v>898</v>
      </c>
      <c r="H281" s="33" t="s">
        <v>899</v>
      </c>
      <c r="I281" s="68"/>
      <c r="J281" s="71"/>
      <c r="K281" s="71"/>
      <c r="L281" s="67"/>
      <c r="M281" s="67"/>
      <c r="N281" s="68"/>
      <c r="O281" s="68"/>
      <c r="P281" s="68"/>
      <c r="Q281" s="20" t="s">
        <v>886</v>
      </c>
      <c r="R281" s="68"/>
      <c r="S281" s="71"/>
      <c r="T281" s="68"/>
      <c r="U281" s="26"/>
      <c r="V281" s="68"/>
      <c r="W281" s="70"/>
      <c r="X281" s="68"/>
      <c r="Y281" s="68"/>
      <c r="Z281" s="68"/>
      <c r="AA281" s="29"/>
      <c r="AB281" s="29"/>
      <c r="AC281" s="30"/>
      <c r="AD281" s="68"/>
      <c r="AE281" s="71"/>
      <c r="AF281" s="71"/>
      <c r="AG281" s="71"/>
      <c r="AH281" s="69"/>
      <c r="AI281" s="69"/>
    </row>
    <row r="282" ht="19.5" customHeight="1">
      <c r="A282" s="20">
        <v>281.0</v>
      </c>
      <c r="B282" s="20">
        <f t="shared" si="1"/>
        <v>281</v>
      </c>
      <c r="C282" s="20" t="s">
        <v>738</v>
      </c>
      <c r="D282" s="20" t="s">
        <v>882</v>
      </c>
      <c r="E282" s="20" t="s">
        <v>883</v>
      </c>
      <c r="F282" s="20" t="s">
        <v>883</v>
      </c>
      <c r="G282" s="20" t="s">
        <v>900</v>
      </c>
      <c r="H282" s="33" t="s">
        <v>901</v>
      </c>
      <c r="I282" s="68"/>
      <c r="J282" s="71"/>
      <c r="K282" s="71"/>
      <c r="L282" s="67"/>
      <c r="M282" s="67"/>
      <c r="N282" s="68"/>
      <c r="O282" s="68"/>
      <c r="P282" s="68"/>
      <c r="Q282" s="20" t="s">
        <v>886</v>
      </c>
      <c r="R282" s="68"/>
      <c r="S282" s="71"/>
      <c r="T282" s="68"/>
      <c r="U282" s="26"/>
      <c r="V282" s="68"/>
      <c r="W282" s="70"/>
      <c r="X282" s="68"/>
      <c r="Y282" s="68"/>
      <c r="Z282" s="68"/>
      <c r="AA282" s="29"/>
      <c r="AB282" s="29"/>
      <c r="AC282" s="30"/>
      <c r="AD282" s="68"/>
      <c r="AE282" s="71"/>
      <c r="AF282" s="71"/>
      <c r="AG282" s="71"/>
      <c r="AH282" s="69"/>
      <c r="AI282" s="69"/>
    </row>
    <row r="283" ht="19.5" customHeight="1">
      <c r="A283" s="20">
        <v>282.0</v>
      </c>
      <c r="B283" s="20">
        <f t="shared" si="1"/>
        <v>282</v>
      </c>
      <c r="C283" s="20" t="s">
        <v>738</v>
      </c>
      <c r="D283" s="20" t="s">
        <v>882</v>
      </c>
      <c r="E283" s="20" t="s">
        <v>883</v>
      </c>
      <c r="F283" s="20" t="s">
        <v>883</v>
      </c>
      <c r="G283" s="20" t="s">
        <v>902</v>
      </c>
      <c r="H283" s="33" t="s">
        <v>903</v>
      </c>
      <c r="I283" s="68"/>
      <c r="J283" s="71"/>
      <c r="K283" s="71"/>
      <c r="L283" s="67"/>
      <c r="M283" s="67"/>
      <c r="N283" s="68"/>
      <c r="O283" s="68"/>
      <c r="P283" s="68"/>
      <c r="Q283" s="20" t="s">
        <v>886</v>
      </c>
      <c r="R283" s="68"/>
      <c r="S283" s="71"/>
      <c r="T283" s="68"/>
      <c r="U283" s="26"/>
      <c r="V283" s="68"/>
      <c r="W283" s="70"/>
      <c r="X283" s="68"/>
      <c r="Y283" s="68"/>
      <c r="Z283" s="68"/>
      <c r="AA283" s="29"/>
      <c r="AB283" s="29"/>
      <c r="AC283" s="30"/>
      <c r="AD283" s="68"/>
      <c r="AE283" s="71"/>
      <c r="AF283" s="71"/>
      <c r="AG283" s="71"/>
      <c r="AH283" s="69"/>
      <c r="AI283" s="69"/>
    </row>
    <row r="284" ht="19.5" customHeight="1">
      <c r="A284" s="20">
        <v>283.0</v>
      </c>
      <c r="B284" s="20">
        <f t="shared" si="1"/>
        <v>283</v>
      </c>
      <c r="C284" s="20" t="s">
        <v>738</v>
      </c>
      <c r="D284" s="20" t="s">
        <v>882</v>
      </c>
      <c r="E284" s="20" t="s">
        <v>883</v>
      </c>
      <c r="F284" s="20" t="s">
        <v>883</v>
      </c>
      <c r="G284" s="20" t="s">
        <v>904</v>
      </c>
      <c r="H284" s="33" t="s">
        <v>905</v>
      </c>
      <c r="I284" s="68"/>
      <c r="J284" s="71"/>
      <c r="K284" s="71"/>
      <c r="L284" s="67"/>
      <c r="M284" s="67"/>
      <c r="N284" s="68"/>
      <c r="O284" s="68"/>
      <c r="P284" s="68"/>
      <c r="Q284" s="20" t="s">
        <v>886</v>
      </c>
      <c r="R284" s="68"/>
      <c r="S284" s="71"/>
      <c r="T284" s="68"/>
      <c r="U284" s="26"/>
      <c r="V284" s="68"/>
      <c r="W284" s="70"/>
      <c r="X284" s="68"/>
      <c r="Y284" s="68"/>
      <c r="Z284" s="68"/>
      <c r="AA284" s="29"/>
      <c r="AB284" s="29"/>
      <c r="AC284" s="30"/>
      <c r="AD284" s="68"/>
      <c r="AE284" s="71"/>
      <c r="AF284" s="71"/>
      <c r="AG284" s="71"/>
      <c r="AH284" s="69"/>
      <c r="AI284" s="69"/>
    </row>
    <row r="285" ht="19.5" customHeight="1">
      <c r="A285" s="20">
        <v>284.0</v>
      </c>
      <c r="B285" s="20">
        <f t="shared" si="1"/>
        <v>284</v>
      </c>
      <c r="C285" s="20" t="s">
        <v>738</v>
      </c>
      <c r="D285" s="20" t="s">
        <v>882</v>
      </c>
      <c r="E285" s="20" t="s">
        <v>883</v>
      </c>
      <c r="F285" s="20" t="s">
        <v>883</v>
      </c>
      <c r="G285" s="20" t="s">
        <v>906</v>
      </c>
      <c r="H285" s="33" t="s">
        <v>907</v>
      </c>
      <c r="I285" s="68"/>
      <c r="J285" s="71"/>
      <c r="K285" s="71"/>
      <c r="L285" s="67"/>
      <c r="M285" s="67"/>
      <c r="N285" s="68"/>
      <c r="O285" s="68"/>
      <c r="P285" s="68"/>
      <c r="Q285" s="20" t="s">
        <v>886</v>
      </c>
      <c r="R285" s="68"/>
      <c r="S285" s="71"/>
      <c r="T285" s="68"/>
      <c r="U285" s="26"/>
      <c r="V285" s="68"/>
      <c r="W285" s="70"/>
      <c r="X285" s="68"/>
      <c r="Y285" s="68"/>
      <c r="Z285" s="68"/>
      <c r="AA285" s="29"/>
      <c r="AB285" s="29"/>
      <c r="AC285" s="30"/>
      <c r="AD285" s="68"/>
      <c r="AE285" s="71"/>
      <c r="AF285" s="71"/>
      <c r="AG285" s="71"/>
      <c r="AH285" s="69"/>
      <c r="AI285" s="69"/>
    </row>
    <row r="286" ht="19.5" customHeight="1">
      <c r="A286" s="20">
        <v>285.0</v>
      </c>
      <c r="B286" s="20">
        <f t="shared" si="1"/>
        <v>285</v>
      </c>
      <c r="C286" s="20" t="s">
        <v>738</v>
      </c>
      <c r="D286" s="20" t="s">
        <v>882</v>
      </c>
      <c r="E286" s="20" t="s">
        <v>883</v>
      </c>
      <c r="F286" s="20" t="s">
        <v>883</v>
      </c>
      <c r="G286" s="20" t="s">
        <v>908</v>
      </c>
      <c r="H286" s="33" t="s">
        <v>909</v>
      </c>
      <c r="I286" s="68"/>
      <c r="J286" s="71"/>
      <c r="K286" s="71"/>
      <c r="L286" s="67"/>
      <c r="M286" s="67"/>
      <c r="N286" s="68"/>
      <c r="O286" s="68"/>
      <c r="P286" s="68"/>
      <c r="Q286" s="20" t="s">
        <v>886</v>
      </c>
      <c r="R286" s="68"/>
      <c r="S286" s="71"/>
      <c r="T286" s="68"/>
      <c r="U286" s="26"/>
      <c r="V286" s="68"/>
      <c r="W286" s="70"/>
      <c r="X286" s="68"/>
      <c r="Y286" s="68"/>
      <c r="Z286" s="68"/>
      <c r="AA286" s="29"/>
      <c r="AB286" s="29"/>
      <c r="AC286" s="30"/>
      <c r="AD286" s="68"/>
      <c r="AE286" s="71"/>
      <c r="AF286" s="71"/>
      <c r="AG286" s="71"/>
      <c r="AH286" s="69"/>
      <c r="AI286" s="69"/>
    </row>
    <row r="287" ht="19.5" customHeight="1">
      <c r="A287" s="20">
        <v>286.0</v>
      </c>
      <c r="B287" s="20">
        <f t="shared" si="1"/>
        <v>286</v>
      </c>
      <c r="C287" s="20" t="s">
        <v>738</v>
      </c>
      <c r="D287" s="20" t="s">
        <v>882</v>
      </c>
      <c r="E287" s="20" t="s">
        <v>883</v>
      </c>
      <c r="F287" s="20" t="s">
        <v>883</v>
      </c>
      <c r="G287" s="20" t="s">
        <v>910</v>
      </c>
      <c r="H287" s="33" t="s">
        <v>911</v>
      </c>
      <c r="I287" s="68"/>
      <c r="J287" s="71"/>
      <c r="K287" s="71"/>
      <c r="L287" s="67"/>
      <c r="M287" s="67"/>
      <c r="N287" s="68"/>
      <c r="O287" s="68"/>
      <c r="P287" s="68"/>
      <c r="Q287" s="20" t="s">
        <v>886</v>
      </c>
      <c r="R287" s="68"/>
      <c r="S287" s="71"/>
      <c r="T287" s="68"/>
      <c r="U287" s="26"/>
      <c r="V287" s="68"/>
      <c r="W287" s="70"/>
      <c r="X287" s="68"/>
      <c r="Y287" s="68"/>
      <c r="Z287" s="68"/>
      <c r="AA287" s="29"/>
      <c r="AB287" s="29"/>
      <c r="AC287" s="30"/>
      <c r="AD287" s="68"/>
      <c r="AE287" s="71"/>
      <c r="AF287" s="71"/>
      <c r="AG287" s="71"/>
      <c r="AH287" s="69"/>
      <c r="AI287" s="69"/>
    </row>
    <row r="288" ht="19.5" customHeight="1">
      <c r="A288" s="20">
        <v>287.0</v>
      </c>
      <c r="B288" s="20">
        <f t="shared" si="1"/>
        <v>287</v>
      </c>
      <c r="C288" s="20" t="s">
        <v>738</v>
      </c>
      <c r="D288" s="20" t="s">
        <v>882</v>
      </c>
      <c r="E288" s="20" t="s">
        <v>883</v>
      </c>
      <c r="F288" s="20" t="s">
        <v>883</v>
      </c>
      <c r="G288" s="20" t="s">
        <v>912</v>
      </c>
      <c r="H288" s="33" t="s">
        <v>913</v>
      </c>
      <c r="I288" s="68"/>
      <c r="J288" s="71"/>
      <c r="K288" s="71"/>
      <c r="L288" s="67"/>
      <c r="M288" s="67"/>
      <c r="N288" s="68"/>
      <c r="O288" s="68"/>
      <c r="P288" s="68"/>
      <c r="Q288" s="20" t="s">
        <v>886</v>
      </c>
      <c r="R288" s="68"/>
      <c r="S288" s="71"/>
      <c r="T288" s="68"/>
      <c r="U288" s="26"/>
      <c r="V288" s="68"/>
      <c r="W288" s="70"/>
      <c r="X288" s="68"/>
      <c r="Y288" s="68"/>
      <c r="Z288" s="68"/>
      <c r="AA288" s="29"/>
      <c r="AB288" s="29"/>
      <c r="AC288" s="30"/>
      <c r="AD288" s="68"/>
      <c r="AE288" s="71"/>
      <c r="AF288" s="71"/>
      <c r="AG288" s="71"/>
      <c r="AH288" s="69"/>
      <c r="AI288" s="69"/>
    </row>
    <row r="289" ht="19.5" customHeight="1">
      <c r="A289" s="20">
        <v>288.0</v>
      </c>
      <c r="B289" s="20">
        <f t="shared" si="1"/>
        <v>288</v>
      </c>
      <c r="C289" s="20" t="s">
        <v>738</v>
      </c>
      <c r="D289" s="20" t="s">
        <v>882</v>
      </c>
      <c r="E289" s="20" t="s">
        <v>883</v>
      </c>
      <c r="F289" s="20" t="s">
        <v>883</v>
      </c>
      <c r="G289" s="20" t="s">
        <v>914</v>
      </c>
      <c r="H289" s="33" t="s">
        <v>915</v>
      </c>
      <c r="I289" s="68"/>
      <c r="J289" s="71"/>
      <c r="K289" s="71"/>
      <c r="L289" s="67"/>
      <c r="M289" s="67"/>
      <c r="N289" s="68"/>
      <c r="O289" s="68"/>
      <c r="P289" s="68"/>
      <c r="Q289" s="20" t="s">
        <v>886</v>
      </c>
      <c r="R289" s="68"/>
      <c r="S289" s="71"/>
      <c r="T289" s="68"/>
      <c r="U289" s="26"/>
      <c r="V289" s="68"/>
      <c r="W289" s="70"/>
      <c r="X289" s="68"/>
      <c r="Y289" s="68"/>
      <c r="Z289" s="68"/>
      <c r="AA289" s="29"/>
      <c r="AB289" s="29"/>
      <c r="AC289" s="30"/>
      <c r="AD289" s="68"/>
      <c r="AE289" s="71"/>
      <c r="AF289" s="71"/>
      <c r="AG289" s="71"/>
      <c r="AH289" s="69"/>
      <c r="AI289" s="69"/>
    </row>
    <row r="290" ht="19.5" customHeight="1">
      <c r="A290" s="20">
        <v>289.0</v>
      </c>
      <c r="B290" s="20">
        <f t="shared" si="1"/>
        <v>289</v>
      </c>
      <c r="C290" s="20" t="s">
        <v>738</v>
      </c>
      <c r="D290" s="20" t="s">
        <v>882</v>
      </c>
      <c r="E290" s="20" t="s">
        <v>883</v>
      </c>
      <c r="F290" s="20" t="s">
        <v>883</v>
      </c>
      <c r="G290" s="20" t="s">
        <v>916</v>
      </c>
      <c r="H290" s="33" t="s">
        <v>917</v>
      </c>
      <c r="I290" s="68"/>
      <c r="J290" s="71"/>
      <c r="K290" s="71"/>
      <c r="L290" s="67"/>
      <c r="M290" s="67"/>
      <c r="N290" s="68"/>
      <c r="O290" s="68"/>
      <c r="P290" s="68"/>
      <c r="Q290" s="20" t="s">
        <v>886</v>
      </c>
      <c r="R290" s="68"/>
      <c r="S290" s="71"/>
      <c r="T290" s="68"/>
      <c r="U290" s="26"/>
      <c r="V290" s="68"/>
      <c r="W290" s="70"/>
      <c r="X290" s="68"/>
      <c r="Y290" s="68"/>
      <c r="Z290" s="68"/>
      <c r="AA290" s="29"/>
      <c r="AB290" s="29"/>
      <c r="AC290" s="30"/>
      <c r="AD290" s="68"/>
      <c r="AE290" s="71"/>
      <c r="AF290" s="71"/>
      <c r="AG290" s="71"/>
      <c r="AH290" s="69"/>
      <c r="AI290" s="69"/>
    </row>
    <row r="291" ht="19.5" customHeight="1">
      <c r="A291" s="20">
        <v>290.0</v>
      </c>
      <c r="B291" s="20">
        <f t="shared" si="1"/>
        <v>290</v>
      </c>
      <c r="C291" s="20" t="s">
        <v>738</v>
      </c>
      <c r="D291" s="20" t="s">
        <v>882</v>
      </c>
      <c r="E291" s="20" t="s">
        <v>883</v>
      </c>
      <c r="F291" s="20" t="s">
        <v>883</v>
      </c>
      <c r="G291" s="20" t="s">
        <v>918</v>
      </c>
      <c r="H291" s="33" t="s">
        <v>919</v>
      </c>
      <c r="I291" s="68"/>
      <c r="J291" s="71"/>
      <c r="K291" s="71"/>
      <c r="L291" s="67"/>
      <c r="M291" s="67"/>
      <c r="N291" s="68"/>
      <c r="O291" s="68"/>
      <c r="P291" s="68"/>
      <c r="Q291" s="20" t="s">
        <v>886</v>
      </c>
      <c r="R291" s="68"/>
      <c r="S291" s="71"/>
      <c r="T291" s="68"/>
      <c r="U291" s="26"/>
      <c r="V291" s="68"/>
      <c r="W291" s="70"/>
      <c r="X291" s="68"/>
      <c r="Y291" s="68"/>
      <c r="Z291" s="68"/>
      <c r="AA291" s="29"/>
      <c r="AB291" s="29"/>
      <c r="AC291" s="30"/>
      <c r="AD291" s="68"/>
      <c r="AE291" s="71"/>
      <c r="AF291" s="71"/>
      <c r="AG291" s="71"/>
      <c r="AH291" s="69"/>
      <c r="AI291" s="69"/>
    </row>
    <row r="292" ht="19.5" customHeight="1">
      <c r="A292" s="20">
        <v>291.0</v>
      </c>
      <c r="B292" s="20">
        <f t="shared" si="1"/>
        <v>291</v>
      </c>
      <c r="C292" s="20" t="s">
        <v>738</v>
      </c>
      <c r="D292" s="20" t="s">
        <v>882</v>
      </c>
      <c r="E292" s="20" t="s">
        <v>883</v>
      </c>
      <c r="F292" s="20" t="s">
        <v>883</v>
      </c>
      <c r="G292" s="20" t="s">
        <v>920</v>
      </c>
      <c r="H292" s="33" t="s">
        <v>921</v>
      </c>
      <c r="I292" s="68"/>
      <c r="J292" s="71"/>
      <c r="K292" s="71"/>
      <c r="L292" s="67"/>
      <c r="M292" s="67"/>
      <c r="N292" s="68"/>
      <c r="O292" s="68"/>
      <c r="P292" s="68"/>
      <c r="Q292" s="20" t="s">
        <v>886</v>
      </c>
      <c r="R292" s="68"/>
      <c r="S292" s="71"/>
      <c r="T292" s="68"/>
      <c r="U292" s="26"/>
      <c r="V292" s="68"/>
      <c r="W292" s="70"/>
      <c r="X292" s="68"/>
      <c r="Y292" s="68"/>
      <c r="Z292" s="68"/>
      <c r="AA292" s="29"/>
      <c r="AB292" s="29"/>
      <c r="AC292" s="30"/>
      <c r="AD292" s="68"/>
      <c r="AE292" s="71"/>
      <c r="AF292" s="71"/>
      <c r="AG292" s="71"/>
      <c r="AH292" s="69"/>
      <c r="AI292" s="69"/>
    </row>
    <row r="293" ht="19.5" customHeight="1">
      <c r="A293" s="20">
        <v>292.0</v>
      </c>
      <c r="B293" s="20">
        <f t="shared" si="1"/>
        <v>292</v>
      </c>
      <c r="C293" s="20" t="s">
        <v>738</v>
      </c>
      <c r="D293" s="20" t="s">
        <v>882</v>
      </c>
      <c r="E293" s="20" t="s">
        <v>883</v>
      </c>
      <c r="F293" s="20" t="s">
        <v>883</v>
      </c>
      <c r="G293" s="20" t="s">
        <v>922</v>
      </c>
      <c r="H293" s="33" t="s">
        <v>923</v>
      </c>
      <c r="I293" s="68"/>
      <c r="J293" s="71"/>
      <c r="K293" s="71"/>
      <c r="L293" s="67"/>
      <c r="M293" s="67"/>
      <c r="N293" s="68"/>
      <c r="O293" s="68"/>
      <c r="P293" s="68"/>
      <c r="Q293" s="20" t="s">
        <v>886</v>
      </c>
      <c r="R293" s="68"/>
      <c r="S293" s="71"/>
      <c r="T293" s="68"/>
      <c r="U293" s="26"/>
      <c r="V293" s="68"/>
      <c r="W293" s="70"/>
      <c r="X293" s="68"/>
      <c r="Y293" s="68"/>
      <c r="Z293" s="68"/>
      <c r="AA293" s="29"/>
      <c r="AB293" s="29"/>
      <c r="AC293" s="30"/>
      <c r="AD293" s="68"/>
      <c r="AE293" s="71"/>
      <c r="AF293" s="71"/>
      <c r="AG293" s="71"/>
      <c r="AH293" s="69"/>
      <c r="AI293" s="69"/>
    </row>
    <row r="294" ht="19.5" customHeight="1">
      <c r="A294" s="20">
        <v>293.0</v>
      </c>
      <c r="B294" s="20">
        <f t="shared" si="1"/>
        <v>293</v>
      </c>
      <c r="C294" s="20" t="s">
        <v>738</v>
      </c>
      <c r="D294" s="20" t="s">
        <v>882</v>
      </c>
      <c r="E294" s="20" t="s">
        <v>883</v>
      </c>
      <c r="F294" s="20" t="s">
        <v>883</v>
      </c>
      <c r="G294" s="20" t="s">
        <v>924</v>
      </c>
      <c r="H294" s="33" t="s">
        <v>925</v>
      </c>
      <c r="I294" s="68"/>
      <c r="J294" s="71"/>
      <c r="K294" s="71"/>
      <c r="L294" s="67"/>
      <c r="M294" s="67"/>
      <c r="N294" s="68"/>
      <c r="O294" s="68"/>
      <c r="P294" s="68"/>
      <c r="Q294" s="20" t="s">
        <v>886</v>
      </c>
      <c r="R294" s="68"/>
      <c r="S294" s="71"/>
      <c r="T294" s="68"/>
      <c r="U294" s="26"/>
      <c r="V294" s="68"/>
      <c r="W294" s="70"/>
      <c r="X294" s="68"/>
      <c r="Y294" s="68"/>
      <c r="Z294" s="68"/>
      <c r="AA294" s="29"/>
      <c r="AB294" s="29"/>
      <c r="AC294" s="30"/>
      <c r="AD294" s="68"/>
      <c r="AE294" s="71"/>
      <c r="AF294" s="71"/>
      <c r="AG294" s="71"/>
      <c r="AH294" s="69"/>
      <c r="AI294" s="69"/>
    </row>
    <row r="295" ht="19.5" customHeight="1">
      <c r="A295" s="20">
        <v>294.0</v>
      </c>
      <c r="B295" s="20">
        <f t="shared" si="1"/>
        <v>294</v>
      </c>
      <c r="C295" s="20" t="s">
        <v>738</v>
      </c>
      <c r="D295" s="20" t="s">
        <v>882</v>
      </c>
      <c r="E295" s="20" t="s">
        <v>883</v>
      </c>
      <c r="F295" s="20" t="s">
        <v>883</v>
      </c>
      <c r="G295" s="20" t="s">
        <v>926</v>
      </c>
      <c r="H295" s="33" t="s">
        <v>927</v>
      </c>
      <c r="I295" s="68"/>
      <c r="J295" s="71"/>
      <c r="K295" s="71"/>
      <c r="L295" s="67"/>
      <c r="M295" s="67"/>
      <c r="N295" s="68"/>
      <c r="O295" s="68"/>
      <c r="P295" s="68"/>
      <c r="Q295" s="20" t="s">
        <v>886</v>
      </c>
      <c r="R295" s="68"/>
      <c r="S295" s="71"/>
      <c r="T295" s="68"/>
      <c r="U295" s="26"/>
      <c r="V295" s="68"/>
      <c r="W295" s="70"/>
      <c r="X295" s="68"/>
      <c r="Y295" s="68"/>
      <c r="Z295" s="68"/>
      <c r="AA295" s="29"/>
      <c r="AB295" s="29"/>
      <c r="AC295" s="30"/>
      <c r="AD295" s="68"/>
      <c r="AE295" s="71"/>
      <c r="AF295" s="71"/>
      <c r="AG295" s="71"/>
      <c r="AH295" s="69"/>
      <c r="AI295" s="69"/>
    </row>
    <row r="296" ht="19.5" customHeight="1">
      <c r="A296" s="20">
        <v>295.0</v>
      </c>
      <c r="B296" s="20">
        <f t="shared" si="1"/>
        <v>295</v>
      </c>
      <c r="C296" s="20" t="s">
        <v>738</v>
      </c>
      <c r="D296" s="20" t="s">
        <v>882</v>
      </c>
      <c r="E296" s="20" t="s">
        <v>883</v>
      </c>
      <c r="F296" s="20" t="s">
        <v>883</v>
      </c>
      <c r="G296" s="20" t="s">
        <v>928</v>
      </c>
      <c r="H296" s="33" t="s">
        <v>929</v>
      </c>
      <c r="I296" s="68"/>
      <c r="J296" s="71"/>
      <c r="K296" s="71"/>
      <c r="L296" s="67"/>
      <c r="M296" s="67"/>
      <c r="N296" s="68"/>
      <c r="O296" s="68"/>
      <c r="P296" s="68"/>
      <c r="Q296" s="20" t="s">
        <v>886</v>
      </c>
      <c r="R296" s="68"/>
      <c r="S296" s="71"/>
      <c r="T296" s="68"/>
      <c r="U296" s="26"/>
      <c r="V296" s="68"/>
      <c r="W296" s="70"/>
      <c r="X296" s="68"/>
      <c r="Y296" s="68"/>
      <c r="Z296" s="68"/>
      <c r="AA296" s="29"/>
      <c r="AB296" s="29"/>
      <c r="AC296" s="30"/>
      <c r="AD296" s="68"/>
      <c r="AE296" s="71"/>
      <c r="AF296" s="71"/>
      <c r="AG296" s="71"/>
      <c r="AH296" s="69"/>
      <c r="AI296" s="69"/>
    </row>
    <row r="297" ht="19.5" customHeight="1">
      <c r="A297" s="20">
        <v>296.0</v>
      </c>
      <c r="B297" s="20">
        <f t="shared" si="1"/>
        <v>296</v>
      </c>
      <c r="C297" s="20" t="s">
        <v>738</v>
      </c>
      <c r="D297" s="20" t="s">
        <v>882</v>
      </c>
      <c r="E297" s="20" t="s">
        <v>883</v>
      </c>
      <c r="F297" s="20" t="s">
        <v>883</v>
      </c>
      <c r="G297" s="20" t="s">
        <v>930</v>
      </c>
      <c r="H297" s="33" t="s">
        <v>931</v>
      </c>
      <c r="I297" s="68"/>
      <c r="J297" s="71"/>
      <c r="K297" s="71"/>
      <c r="L297" s="67"/>
      <c r="M297" s="67"/>
      <c r="N297" s="68"/>
      <c r="O297" s="68"/>
      <c r="P297" s="68"/>
      <c r="Q297" s="20" t="s">
        <v>886</v>
      </c>
      <c r="R297" s="68"/>
      <c r="S297" s="71"/>
      <c r="T297" s="68"/>
      <c r="U297" s="26"/>
      <c r="V297" s="68"/>
      <c r="W297" s="70"/>
      <c r="X297" s="68"/>
      <c r="Y297" s="68"/>
      <c r="Z297" s="68"/>
      <c r="AA297" s="29"/>
      <c r="AB297" s="29"/>
      <c r="AC297" s="30"/>
      <c r="AD297" s="68"/>
      <c r="AE297" s="71"/>
      <c r="AF297" s="71"/>
      <c r="AG297" s="71"/>
      <c r="AH297" s="69"/>
      <c r="AI297" s="69"/>
    </row>
    <row r="298" ht="19.5" customHeight="1">
      <c r="A298" s="20">
        <v>297.0</v>
      </c>
      <c r="B298" s="20">
        <f t="shared" si="1"/>
        <v>297</v>
      </c>
      <c r="C298" s="20" t="s">
        <v>738</v>
      </c>
      <c r="D298" s="20" t="s">
        <v>882</v>
      </c>
      <c r="E298" s="20" t="s">
        <v>883</v>
      </c>
      <c r="F298" s="20" t="s">
        <v>883</v>
      </c>
      <c r="G298" s="20" t="s">
        <v>932</v>
      </c>
      <c r="H298" s="33" t="s">
        <v>933</v>
      </c>
      <c r="I298" s="68"/>
      <c r="J298" s="71"/>
      <c r="K298" s="71"/>
      <c r="L298" s="67"/>
      <c r="M298" s="67"/>
      <c r="N298" s="68"/>
      <c r="O298" s="68"/>
      <c r="P298" s="68"/>
      <c r="Q298" s="20" t="s">
        <v>886</v>
      </c>
      <c r="R298" s="68"/>
      <c r="S298" s="71"/>
      <c r="T298" s="68"/>
      <c r="U298" s="26"/>
      <c r="V298" s="68"/>
      <c r="W298" s="70"/>
      <c r="X298" s="68"/>
      <c r="Y298" s="68"/>
      <c r="Z298" s="68"/>
      <c r="AA298" s="29"/>
      <c r="AB298" s="29"/>
      <c r="AC298" s="30"/>
      <c r="AD298" s="68"/>
      <c r="AE298" s="71"/>
      <c r="AF298" s="71"/>
      <c r="AG298" s="71"/>
      <c r="AH298" s="69"/>
      <c r="AI298" s="69"/>
    </row>
    <row r="299" ht="19.5" customHeight="1">
      <c r="A299" s="20">
        <v>298.0</v>
      </c>
      <c r="B299" s="20">
        <f t="shared" si="1"/>
        <v>298</v>
      </c>
      <c r="C299" s="20" t="s">
        <v>738</v>
      </c>
      <c r="D299" s="20" t="s">
        <v>882</v>
      </c>
      <c r="E299" s="20" t="s">
        <v>883</v>
      </c>
      <c r="F299" s="20" t="s">
        <v>883</v>
      </c>
      <c r="G299" s="20" t="s">
        <v>934</v>
      </c>
      <c r="H299" s="33" t="s">
        <v>935</v>
      </c>
      <c r="I299" s="68"/>
      <c r="J299" s="71"/>
      <c r="K299" s="71"/>
      <c r="L299" s="67"/>
      <c r="M299" s="67"/>
      <c r="N299" s="68"/>
      <c r="O299" s="68"/>
      <c r="P299" s="68"/>
      <c r="Q299" s="20" t="s">
        <v>886</v>
      </c>
      <c r="R299" s="68"/>
      <c r="S299" s="71"/>
      <c r="T299" s="68"/>
      <c r="U299" s="26"/>
      <c r="V299" s="68"/>
      <c r="W299" s="70"/>
      <c r="X299" s="68"/>
      <c r="Y299" s="68"/>
      <c r="Z299" s="68"/>
      <c r="AA299" s="29"/>
      <c r="AB299" s="29"/>
      <c r="AC299" s="30"/>
      <c r="AD299" s="68"/>
      <c r="AE299" s="71"/>
      <c r="AF299" s="71"/>
      <c r="AG299" s="71"/>
      <c r="AH299" s="69"/>
      <c r="AI299" s="69"/>
    </row>
    <row r="300" ht="19.5" customHeight="1">
      <c r="A300" s="20">
        <v>299.0</v>
      </c>
      <c r="B300" s="20">
        <f t="shared" si="1"/>
        <v>299</v>
      </c>
      <c r="C300" s="20" t="s">
        <v>738</v>
      </c>
      <c r="D300" s="20" t="s">
        <v>882</v>
      </c>
      <c r="E300" s="20" t="s">
        <v>883</v>
      </c>
      <c r="F300" s="20" t="s">
        <v>883</v>
      </c>
      <c r="G300" s="20" t="s">
        <v>936</v>
      </c>
      <c r="H300" s="33" t="s">
        <v>937</v>
      </c>
      <c r="I300" s="68"/>
      <c r="J300" s="71"/>
      <c r="K300" s="71"/>
      <c r="L300" s="67"/>
      <c r="M300" s="67"/>
      <c r="N300" s="68"/>
      <c r="O300" s="68"/>
      <c r="P300" s="68"/>
      <c r="Q300" s="20" t="s">
        <v>886</v>
      </c>
      <c r="R300" s="68"/>
      <c r="S300" s="71"/>
      <c r="T300" s="68"/>
      <c r="U300" s="26"/>
      <c r="V300" s="68"/>
      <c r="W300" s="70"/>
      <c r="X300" s="68"/>
      <c r="Y300" s="68"/>
      <c r="Z300" s="68"/>
      <c r="AA300" s="29"/>
      <c r="AB300" s="29"/>
      <c r="AC300" s="30"/>
      <c r="AD300" s="68"/>
      <c r="AE300" s="71"/>
      <c r="AF300" s="71"/>
      <c r="AG300" s="71"/>
      <c r="AH300" s="69"/>
      <c r="AI300" s="69"/>
    </row>
    <row r="301" ht="19.5" customHeight="1">
      <c r="A301" s="20">
        <v>300.0</v>
      </c>
      <c r="B301" s="20">
        <f t="shared" si="1"/>
        <v>300</v>
      </c>
      <c r="C301" s="20" t="s">
        <v>738</v>
      </c>
      <c r="D301" s="20" t="s">
        <v>882</v>
      </c>
      <c r="E301" s="20" t="s">
        <v>883</v>
      </c>
      <c r="F301" s="20" t="s">
        <v>883</v>
      </c>
      <c r="G301" s="20" t="s">
        <v>938</v>
      </c>
      <c r="H301" s="33" t="s">
        <v>939</v>
      </c>
      <c r="I301" s="68"/>
      <c r="J301" s="71"/>
      <c r="K301" s="71"/>
      <c r="L301" s="67"/>
      <c r="M301" s="67"/>
      <c r="N301" s="68"/>
      <c r="O301" s="68"/>
      <c r="P301" s="68"/>
      <c r="Q301" s="20" t="s">
        <v>886</v>
      </c>
      <c r="R301" s="68"/>
      <c r="S301" s="71"/>
      <c r="T301" s="68"/>
      <c r="U301" s="26"/>
      <c r="V301" s="68"/>
      <c r="W301" s="70"/>
      <c r="X301" s="68"/>
      <c r="Y301" s="68"/>
      <c r="Z301" s="68"/>
      <c r="AA301" s="29"/>
      <c r="AB301" s="29"/>
      <c r="AC301" s="30"/>
      <c r="AD301" s="68"/>
      <c r="AE301" s="71"/>
      <c r="AF301" s="71"/>
      <c r="AG301" s="71"/>
      <c r="AH301" s="69"/>
      <c r="AI301" s="69"/>
    </row>
    <row r="302" ht="19.5" customHeight="1">
      <c r="A302" s="20">
        <v>301.0</v>
      </c>
      <c r="B302" s="20">
        <f t="shared" si="1"/>
        <v>301</v>
      </c>
      <c r="C302" s="20" t="s">
        <v>738</v>
      </c>
      <c r="D302" s="20" t="s">
        <v>882</v>
      </c>
      <c r="E302" s="20" t="s">
        <v>883</v>
      </c>
      <c r="F302" s="20" t="s">
        <v>883</v>
      </c>
      <c r="G302" s="20" t="s">
        <v>940</v>
      </c>
      <c r="H302" s="33" t="s">
        <v>941</v>
      </c>
      <c r="I302" s="68"/>
      <c r="J302" s="71"/>
      <c r="K302" s="71"/>
      <c r="L302" s="67"/>
      <c r="M302" s="67"/>
      <c r="N302" s="68"/>
      <c r="O302" s="68"/>
      <c r="P302" s="68"/>
      <c r="Q302" s="20" t="s">
        <v>886</v>
      </c>
      <c r="R302" s="68"/>
      <c r="S302" s="71"/>
      <c r="T302" s="68"/>
      <c r="U302" s="26"/>
      <c r="V302" s="68"/>
      <c r="W302" s="70"/>
      <c r="X302" s="68"/>
      <c r="Y302" s="68"/>
      <c r="Z302" s="68"/>
      <c r="AA302" s="29"/>
      <c r="AB302" s="29"/>
      <c r="AC302" s="30"/>
      <c r="AD302" s="68"/>
      <c r="AE302" s="71"/>
      <c r="AF302" s="71"/>
      <c r="AG302" s="71"/>
      <c r="AH302" s="69"/>
      <c r="AI302" s="69"/>
    </row>
    <row r="303" ht="19.5" customHeight="1">
      <c r="A303" s="20">
        <v>302.0</v>
      </c>
      <c r="B303" s="20">
        <f t="shared" si="1"/>
        <v>302</v>
      </c>
      <c r="C303" s="20" t="s">
        <v>738</v>
      </c>
      <c r="D303" s="20" t="s">
        <v>882</v>
      </c>
      <c r="E303" s="20" t="s">
        <v>883</v>
      </c>
      <c r="F303" s="20" t="s">
        <v>883</v>
      </c>
      <c r="G303" s="20" t="s">
        <v>942</v>
      </c>
      <c r="H303" s="33" t="s">
        <v>943</v>
      </c>
      <c r="I303" s="68"/>
      <c r="J303" s="71"/>
      <c r="K303" s="71"/>
      <c r="L303" s="67"/>
      <c r="M303" s="67"/>
      <c r="N303" s="68"/>
      <c r="O303" s="68"/>
      <c r="P303" s="68"/>
      <c r="Q303" s="20" t="s">
        <v>886</v>
      </c>
      <c r="R303" s="68"/>
      <c r="S303" s="71"/>
      <c r="T303" s="68"/>
      <c r="U303" s="26"/>
      <c r="V303" s="68"/>
      <c r="W303" s="70"/>
      <c r="X303" s="68"/>
      <c r="Y303" s="68"/>
      <c r="Z303" s="68"/>
      <c r="AA303" s="29"/>
      <c r="AB303" s="29"/>
      <c r="AC303" s="30"/>
      <c r="AD303" s="68"/>
      <c r="AE303" s="71"/>
      <c r="AF303" s="71"/>
      <c r="AG303" s="71"/>
      <c r="AH303" s="69"/>
      <c r="AI303" s="69"/>
    </row>
    <row r="304" ht="19.5" customHeight="1">
      <c r="A304" s="20">
        <v>303.0</v>
      </c>
      <c r="B304" s="20">
        <f t="shared" si="1"/>
        <v>303</v>
      </c>
      <c r="C304" s="20" t="s">
        <v>738</v>
      </c>
      <c r="D304" s="20" t="s">
        <v>882</v>
      </c>
      <c r="E304" s="20" t="s">
        <v>883</v>
      </c>
      <c r="F304" s="20" t="s">
        <v>883</v>
      </c>
      <c r="G304" s="20" t="s">
        <v>944</v>
      </c>
      <c r="H304" s="33" t="s">
        <v>945</v>
      </c>
      <c r="I304" s="68"/>
      <c r="J304" s="71"/>
      <c r="K304" s="71"/>
      <c r="L304" s="67"/>
      <c r="M304" s="67"/>
      <c r="N304" s="68"/>
      <c r="O304" s="68"/>
      <c r="P304" s="68"/>
      <c r="Q304" s="20" t="s">
        <v>886</v>
      </c>
      <c r="R304" s="68"/>
      <c r="S304" s="71"/>
      <c r="T304" s="68"/>
      <c r="U304" s="26"/>
      <c r="V304" s="68"/>
      <c r="W304" s="70"/>
      <c r="X304" s="68"/>
      <c r="Y304" s="68"/>
      <c r="Z304" s="68"/>
      <c r="AA304" s="29"/>
      <c r="AB304" s="29"/>
      <c r="AC304" s="30"/>
      <c r="AD304" s="68"/>
      <c r="AE304" s="71"/>
      <c r="AF304" s="71"/>
      <c r="AG304" s="71"/>
      <c r="AH304" s="69"/>
      <c r="AI304" s="69"/>
    </row>
    <row r="305" ht="19.5" customHeight="1">
      <c r="A305" s="20">
        <v>304.0</v>
      </c>
      <c r="B305" s="20">
        <f t="shared" si="1"/>
        <v>304</v>
      </c>
      <c r="C305" s="20" t="s">
        <v>738</v>
      </c>
      <c r="D305" s="20" t="s">
        <v>882</v>
      </c>
      <c r="E305" s="20" t="s">
        <v>883</v>
      </c>
      <c r="F305" s="20" t="s">
        <v>883</v>
      </c>
      <c r="G305" s="20" t="s">
        <v>946</v>
      </c>
      <c r="H305" s="33" t="s">
        <v>947</v>
      </c>
      <c r="I305" s="68"/>
      <c r="J305" s="71"/>
      <c r="K305" s="71"/>
      <c r="L305" s="67"/>
      <c r="M305" s="67"/>
      <c r="N305" s="68"/>
      <c r="O305" s="68"/>
      <c r="P305" s="68"/>
      <c r="Q305" s="20" t="s">
        <v>886</v>
      </c>
      <c r="R305" s="68"/>
      <c r="S305" s="71"/>
      <c r="T305" s="68"/>
      <c r="U305" s="26"/>
      <c r="V305" s="68"/>
      <c r="W305" s="70"/>
      <c r="X305" s="68"/>
      <c r="Y305" s="68"/>
      <c r="Z305" s="68"/>
      <c r="AA305" s="29"/>
      <c r="AB305" s="29"/>
      <c r="AC305" s="30"/>
      <c r="AD305" s="68"/>
      <c r="AE305" s="71"/>
      <c r="AF305" s="71"/>
      <c r="AG305" s="71"/>
      <c r="AH305" s="69"/>
      <c r="AI305" s="69"/>
    </row>
    <row r="306" ht="19.5" customHeight="1">
      <c r="A306" s="20">
        <v>305.0</v>
      </c>
      <c r="B306" s="20">
        <f t="shared" si="1"/>
        <v>305</v>
      </c>
      <c r="C306" s="20" t="s">
        <v>738</v>
      </c>
      <c r="D306" s="20" t="s">
        <v>882</v>
      </c>
      <c r="E306" s="20" t="s">
        <v>883</v>
      </c>
      <c r="F306" s="20" t="s">
        <v>883</v>
      </c>
      <c r="G306" s="20" t="s">
        <v>948</v>
      </c>
      <c r="H306" s="33" t="s">
        <v>949</v>
      </c>
      <c r="I306" s="68"/>
      <c r="J306" s="71"/>
      <c r="K306" s="71"/>
      <c r="L306" s="67"/>
      <c r="M306" s="67"/>
      <c r="N306" s="68"/>
      <c r="O306" s="68"/>
      <c r="P306" s="68"/>
      <c r="Q306" s="20" t="s">
        <v>886</v>
      </c>
      <c r="R306" s="68"/>
      <c r="S306" s="71"/>
      <c r="T306" s="68"/>
      <c r="U306" s="26"/>
      <c r="V306" s="68"/>
      <c r="W306" s="70"/>
      <c r="X306" s="68"/>
      <c r="Y306" s="68"/>
      <c r="Z306" s="68"/>
      <c r="AA306" s="29"/>
      <c r="AB306" s="29"/>
      <c r="AC306" s="30"/>
      <c r="AD306" s="68"/>
      <c r="AE306" s="71"/>
      <c r="AF306" s="71"/>
      <c r="AG306" s="71"/>
      <c r="AH306" s="69"/>
      <c r="AI306" s="69"/>
    </row>
    <row r="307" ht="19.5" customHeight="1">
      <c r="A307" s="20">
        <v>306.0</v>
      </c>
      <c r="B307" s="20">
        <f t="shared" si="1"/>
        <v>306</v>
      </c>
      <c r="C307" s="20" t="s">
        <v>738</v>
      </c>
      <c r="D307" s="20" t="s">
        <v>882</v>
      </c>
      <c r="E307" s="20" t="s">
        <v>883</v>
      </c>
      <c r="F307" s="20" t="s">
        <v>883</v>
      </c>
      <c r="G307" s="20" t="s">
        <v>950</v>
      </c>
      <c r="H307" s="33" t="s">
        <v>951</v>
      </c>
      <c r="I307" s="68"/>
      <c r="J307" s="71"/>
      <c r="K307" s="71"/>
      <c r="L307" s="67"/>
      <c r="M307" s="67"/>
      <c r="N307" s="68"/>
      <c r="O307" s="68"/>
      <c r="P307" s="68"/>
      <c r="Q307" s="20" t="s">
        <v>886</v>
      </c>
      <c r="R307" s="68"/>
      <c r="S307" s="71"/>
      <c r="T307" s="68"/>
      <c r="U307" s="26"/>
      <c r="V307" s="68"/>
      <c r="W307" s="70"/>
      <c r="X307" s="68"/>
      <c r="Y307" s="68"/>
      <c r="Z307" s="68"/>
      <c r="AA307" s="29"/>
      <c r="AB307" s="29"/>
      <c r="AC307" s="30"/>
      <c r="AD307" s="68"/>
      <c r="AE307" s="71"/>
      <c r="AF307" s="71"/>
      <c r="AG307" s="71"/>
      <c r="AH307" s="69"/>
      <c r="AI307" s="69"/>
    </row>
    <row r="308" ht="19.5" customHeight="1">
      <c r="A308" s="20">
        <v>307.0</v>
      </c>
      <c r="B308" s="20">
        <f t="shared" si="1"/>
        <v>307</v>
      </c>
      <c r="C308" s="20" t="s">
        <v>738</v>
      </c>
      <c r="D308" s="20" t="s">
        <v>882</v>
      </c>
      <c r="E308" s="20" t="s">
        <v>883</v>
      </c>
      <c r="F308" s="20" t="s">
        <v>883</v>
      </c>
      <c r="G308" s="20" t="s">
        <v>952</v>
      </c>
      <c r="H308" s="33" t="s">
        <v>953</v>
      </c>
      <c r="I308" s="68"/>
      <c r="J308" s="71"/>
      <c r="K308" s="71"/>
      <c r="L308" s="67"/>
      <c r="M308" s="67"/>
      <c r="N308" s="68"/>
      <c r="O308" s="68"/>
      <c r="P308" s="68"/>
      <c r="Q308" s="20" t="s">
        <v>886</v>
      </c>
      <c r="R308" s="68"/>
      <c r="S308" s="71"/>
      <c r="T308" s="68"/>
      <c r="U308" s="26"/>
      <c r="V308" s="68"/>
      <c r="W308" s="70"/>
      <c r="X308" s="68"/>
      <c r="Y308" s="68"/>
      <c r="Z308" s="68"/>
      <c r="AA308" s="29"/>
      <c r="AB308" s="29"/>
      <c r="AC308" s="30"/>
      <c r="AD308" s="68"/>
      <c r="AE308" s="71"/>
      <c r="AF308" s="71"/>
      <c r="AG308" s="71"/>
      <c r="AH308" s="69"/>
      <c r="AI308" s="69"/>
    </row>
    <row r="309" ht="19.5" customHeight="1">
      <c r="A309" s="20">
        <v>308.0</v>
      </c>
      <c r="B309" s="20">
        <f t="shared" si="1"/>
        <v>308</v>
      </c>
      <c r="C309" s="20" t="s">
        <v>738</v>
      </c>
      <c r="D309" s="20" t="s">
        <v>882</v>
      </c>
      <c r="E309" s="20" t="s">
        <v>883</v>
      </c>
      <c r="F309" s="20" t="s">
        <v>883</v>
      </c>
      <c r="G309" s="20" t="s">
        <v>954</v>
      </c>
      <c r="H309" s="33" t="s">
        <v>955</v>
      </c>
      <c r="I309" s="68"/>
      <c r="J309" s="71"/>
      <c r="K309" s="71"/>
      <c r="L309" s="67"/>
      <c r="M309" s="67"/>
      <c r="N309" s="68"/>
      <c r="O309" s="68"/>
      <c r="P309" s="68"/>
      <c r="Q309" s="20" t="s">
        <v>886</v>
      </c>
      <c r="R309" s="68"/>
      <c r="S309" s="71"/>
      <c r="T309" s="68"/>
      <c r="U309" s="26"/>
      <c r="V309" s="68"/>
      <c r="W309" s="70"/>
      <c r="X309" s="68"/>
      <c r="Y309" s="68"/>
      <c r="Z309" s="68"/>
      <c r="AA309" s="29"/>
      <c r="AB309" s="29"/>
      <c r="AC309" s="30"/>
      <c r="AD309" s="68"/>
      <c r="AE309" s="71"/>
      <c r="AF309" s="71"/>
      <c r="AG309" s="71"/>
      <c r="AH309" s="69"/>
      <c r="AI309" s="69"/>
    </row>
    <row r="310" ht="19.5" customHeight="1">
      <c r="A310" s="20">
        <v>309.0</v>
      </c>
      <c r="B310" s="20">
        <f t="shared" si="1"/>
        <v>309</v>
      </c>
      <c r="C310" s="20" t="s">
        <v>738</v>
      </c>
      <c r="D310" s="20" t="s">
        <v>882</v>
      </c>
      <c r="E310" s="20" t="s">
        <v>883</v>
      </c>
      <c r="F310" s="20" t="s">
        <v>883</v>
      </c>
      <c r="G310" s="20" t="s">
        <v>956</v>
      </c>
      <c r="H310" s="33" t="s">
        <v>957</v>
      </c>
      <c r="I310" s="68"/>
      <c r="J310" s="71"/>
      <c r="K310" s="71"/>
      <c r="L310" s="67"/>
      <c r="M310" s="67"/>
      <c r="N310" s="68"/>
      <c r="O310" s="68"/>
      <c r="P310" s="68"/>
      <c r="Q310" s="20" t="s">
        <v>886</v>
      </c>
      <c r="R310" s="68"/>
      <c r="S310" s="71"/>
      <c r="T310" s="68"/>
      <c r="U310" s="26"/>
      <c r="V310" s="68"/>
      <c r="W310" s="70"/>
      <c r="X310" s="68"/>
      <c r="Y310" s="68"/>
      <c r="Z310" s="68"/>
      <c r="AA310" s="29"/>
      <c r="AB310" s="29"/>
      <c r="AC310" s="30"/>
      <c r="AD310" s="68"/>
      <c r="AE310" s="71"/>
      <c r="AF310" s="71"/>
      <c r="AG310" s="71"/>
      <c r="AH310" s="69"/>
      <c r="AI310" s="69"/>
    </row>
    <row r="311" ht="19.5" customHeight="1">
      <c r="A311" s="20">
        <v>310.0</v>
      </c>
      <c r="B311" s="20">
        <f t="shared" si="1"/>
        <v>310</v>
      </c>
      <c r="C311" s="20" t="s">
        <v>738</v>
      </c>
      <c r="D311" s="20" t="s">
        <v>882</v>
      </c>
      <c r="E311" s="20" t="s">
        <v>883</v>
      </c>
      <c r="F311" s="20" t="s">
        <v>883</v>
      </c>
      <c r="G311" s="20" t="s">
        <v>958</v>
      </c>
      <c r="H311" s="33" t="s">
        <v>959</v>
      </c>
      <c r="I311" s="68"/>
      <c r="J311" s="71"/>
      <c r="K311" s="71"/>
      <c r="L311" s="67"/>
      <c r="M311" s="67"/>
      <c r="N311" s="68"/>
      <c r="O311" s="68"/>
      <c r="P311" s="68"/>
      <c r="Q311" s="20" t="s">
        <v>886</v>
      </c>
      <c r="R311" s="68"/>
      <c r="S311" s="71"/>
      <c r="T311" s="68"/>
      <c r="U311" s="26"/>
      <c r="V311" s="68"/>
      <c r="W311" s="70"/>
      <c r="X311" s="68"/>
      <c r="Y311" s="68"/>
      <c r="Z311" s="68"/>
      <c r="AA311" s="29"/>
      <c r="AB311" s="29"/>
      <c r="AC311" s="30"/>
      <c r="AD311" s="68"/>
      <c r="AE311" s="71"/>
      <c r="AF311" s="71"/>
      <c r="AG311" s="71"/>
      <c r="AH311" s="69"/>
      <c r="AI311" s="69"/>
    </row>
    <row r="312" ht="19.5" customHeight="1">
      <c r="A312" s="20">
        <v>311.0</v>
      </c>
      <c r="B312" s="20">
        <f t="shared" si="1"/>
        <v>311</v>
      </c>
      <c r="C312" s="20" t="s">
        <v>738</v>
      </c>
      <c r="D312" s="20" t="s">
        <v>882</v>
      </c>
      <c r="E312" s="20" t="s">
        <v>883</v>
      </c>
      <c r="F312" s="20" t="s">
        <v>883</v>
      </c>
      <c r="G312" s="20" t="s">
        <v>960</v>
      </c>
      <c r="H312" s="33" t="s">
        <v>961</v>
      </c>
      <c r="I312" s="68"/>
      <c r="J312" s="71"/>
      <c r="K312" s="71"/>
      <c r="L312" s="67"/>
      <c r="M312" s="67"/>
      <c r="N312" s="68"/>
      <c r="O312" s="68"/>
      <c r="P312" s="68"/>
      <c r="Q312" s="20" t="s">
        <v>886</v>
      </c>
      <c r="R312" s="68"/>
      <c r="S312" s="71"/>
      <c r="T312" s="68"/>
      <c r="U312" s="26"/>
      <c r="V312" s="68"/>
      <c r="W312" s="70"/>
      <c r="X312" s="68"/>
      <c r="Y312" s="68"/>
      <c r="Z312" s="68"/>
      <c r="AA312" s="29"/>
      <c r="AB312" s="29"/>
      <c r="AC312" s="30"/>
      <c r="AD312" s="68"/>
      <c r="AE312" s="71"/>
      <c r="AF312" s="71"/>
      <c r="AG312" s="71"/>
      <c r="AH312" s="69"/>
      <c r="AI312" s="69"/>
    </row>
    <row r="313" ht="19.5" customHeight="1">
      <c r="A313" s="20">
        <v>312.0</v>
      </c>
      <c r="B313" s="20">
        <f t="shared" si="1"/>
        <v>312</v>
      </c>
      <c r="C313" s="20" t="s">
        <v>738</v>
      </c>
      <c r="D313" s="20" t="s">
        <v>882</v>
      </c>
      <c r="E313" s="20" t="s">
        <v>883</v>
      </c>
      <c r="F313" s="20" t="s">
        <v>883</v>
      </c>
      <c r="G313" s="20" t="s">
        <v>962</v>
      </c>
      <c r="H313" s="33" t="s">
        <v>963</v>
      </c>
      <c r="I313" s="68"/>
      <c r="J313" s="71"/>
      <c r="K313" s="71"/>
      <c r="L313" s="67"/>
      <c r="M313" s="67"/>
      <c r="N313" s="68"/>
      <c r="O313" s="68"/>
      <c r="P313" s="68"/>
      <c r="Q313" s="20" t="s">
        <v>886</v>
      </c>
      <c r="R313" s="68"/>
      <c r="S313" s="71"/>
      <c r="T313" s="68"/>
      <c r="U313" s="26"/>
      <c r="V313" s="68"/>
      <c r="W313" s="70"/>
      <c r="X313" s="68"/>
      <c r="Y313" s="68"/>
      <c r="Z313" s="68"/>
      <c r="AA313" s="29"/>
      <c r="AB313" s="29"/>
      <c r="AC313" s="30"/>
      <c r="AD313" s="68"/>
      <c r="AE313" s="71"/>
      <c r="AF313" s="71"/>
      <c r="AG313" s="71"/>
      <c r="AH313" s="69"/>
      <c r="AI313" s="69"/>
    </row>
    <row r="314" ht="19.5" customHeight="1">
      <c r="A314" s="20">
        <v>313.0</v>
      </c>
      <c r="B314" s="20">
        <f t="shared" si="1"/>
        <v>313</v>
      </c>
      <c r="C314" s="20" t="s">
        <v>738</v>
      </c>
      <c r="D314" s="20" t="s">
        <v>882</v>
      </c>
      <c r="E314" s="20" t="s">
        <v>883</v>
      </c>
      <c r="F314" s="20" t="s">
        <v>883</v>
      </c>
      <c r="G314" s="20" t="s">
        <v>964</v>
      </c>
      <c r="H314" s="33" t="s">
        <v>965</v>
      </c>
      <c r="I314" s="68"/>
      <c r="J314" s="71"/>
      <c r="K314" s="71"/>
      <c r="L314" s="67"/>
      <c r="M314" s="67"/>
      <c r="N314" s="68"/>
      <c r="O314" s="68"/>
      <c r="P314" s="68"/>
      <c r="Q314" s="20" t="s">
        <v>886</v>
      </c>
      <c r="R314" s="68"/>
      <c r="S314" s="71"/>
      <c r="T314" s="68"/>
      <c r="U314" s="26"/>
      <c r="V314" s="68"/>
      <c r="W314" s="70"/>
      <c r="X314" s="68"/>
      <c r="Y314" s="68"/>
      <c r="Z314" s="68"/>
      <c r="AA314" s="29"/>
      <c r="AB314" s="29"/>
      <c r="AC314" s="30"/>
      <c r="AD314" s="68"/>
      <c r="AE314" s="71"/>
      <c r="AF314" s="71"/>
      <c r="AG314" s="71"/>
      <c r="AH314" s="69"/>
      <c r="AI314" s="69"/>
    </row>
    <row r="315" ht="19.5" customHeight="1">
      <c r="A315" s="20">
        <v>314.0</v>
      </c>
      <c r="B315" s="20">
        <f t="shared" si="1"/>
        <v>314</v>
      </c>
      <c r="C315" s="20" t="s">
        <v>738</v>
      </c>
      <c r="D315" s="20" t="s">
        <v>882</v>
      </c>
      <c r="E315" s="20" t="s">
        <v>883</v>
      </c>
      <c r="F315" s="20" t="s">
        <v>883</v>
      </c>
      <c r="G315" s="20" t="s">
        <v>966</v>
      </c>
      <c r="H315" s="33" t="s">
        <v>967</v>
      </c>
      <c r="I315" s="68"/>
      <c r="J315" s="71"/>
      <c r="K315" s="71"/>
      <c r="L315" s="67"/>
      <c r="M315" s="67"/>
      <c r="N315" s="68"/>
      <c r="O315" s="68"/>
      <c r="P315" s="68"/>
      <c r="Q315" s="20" t="s">
        <v>886</v>
      </c>
      <c r="R315" s="68"/>
      <c r="S315" s="71"/>
      <c r="T315" s="68"/>
      <c r="U315" s="26"/>
      <c r="V315" s="68"/>
      <c r="W315" s="70"/>
      <c r="X315" s="68"/>
      <c r="Y315" s="68"/>
      <c r="Z315" s="68"/>
      <c r="AA315" s="29"/>
      <c r="AB315" s="29"/>
      <c r="AC315" s="30"/>
      <c r="AD315" s="68"/>
      <c r="AE315" s="71"/>
      <c r="AF315" s="71"/>
      <c r="AG315" s="71"/>
      <c r="AH315" s="69"/>
      <c r="AI315" s="69"/>
    </row>
    <row r="316" ht="19.5" customHeight="1">
      <c r="A316" s="20">
        <v>315.0</v>
      </c>
      <c r="B316" s="20">
        <f t="shared" si="1"/>
        <v>315</v>
      </c>
      <c r="C316" s="20" t="s">
        <v>738</v>
      </c>
      <c r="D316" s="20" t="s">
        <v>882</v>
      </c>
      <c r="E316" s="20" t="s">
        <v>883</v>
      </c>
      <c r="F316" s="20" t="s">
        <v>883</v>
      </c>
      <c r="G316" s="20" t="s">
        <v>968</v>
      </c>
      <c r="H316" s="33" t="s">
        <v>969</v>
      </c>
      <c r="I316" s="68"/>
      <c r="J316" s="71"/>
      <c r="K316" s="71"/>
      <c r="L316" s="67"/>
      <c r="M316" s="67"/>
      <c r="N316" s="68"/>
      <c r="O316" s="68"/>
      <c r="P316" s="68"/>
      <c r="Q316" s="20" t="s">
        <v>886</v>
      </c>
      <c r="R316" s="68"/>
      <c r="S316" s="71"/>
      <c r="T316" s="68"/>
      <c r="U316" s="26"/>
      <c r="V316" s="68"/>
      <c r="W316" s="70"/>
      <c r="X316" s="68"/>
      <c r="Y316" s="68"/>
      <c r="Z316" s="68"/>
      <c r="AA316" s="29"/>
      <c r="AB316" s="29"/>
      <c r="AC316" s="30"/>
      <c r="AD316" s="68"/>
      <c r="AE316" s="71"/>
      <c r="AF316" s="71"/>
      <c r="AG316" s="71"/>
      <c r="AH316" s="69"/>
      <c r="AI316" s="69"/>
    </row>
    <row r="317" ht="19.5" customHeight="1">
      <c r="A317" s="20">
        <v>316.0</v>
      </c>
      <c r="B317" s="20">
        <f t="shared" si="1"/>
        <v>316</v>
      </c>
      <c r="C317" s="20" t="s">
        <v>738</v>
      </c>
      <c r="D317" s="20" t="s">
        <v>882</v>
      </c>
      <c r="E317" s="20" t="s">
        <v>883</v>
      </c>
      <c r="F317" s="20" t="s">
        <v>883</v>
      </c>
      <c r="G317" s="20" t="s">
        <v>970</v>
      </c>
      <c r="H317" s="33" t="s">
        <v>971</v>
      </c>
      <c r="I317" s="68"/>
      <c r="J317" s="71"/>
      <c r="K317" s="71"/>
      <c r="L317" s="67"/>
      <c r="M317" s="67"/>
      <c r="N317" s="68"/>
      <c r="O317" s="68"/>
      <c r="P317" s="68"/>
      <c r="Q317" s="20" t="s">
        <v>886</v>
      </c>
      <c r="R317" s="68"/>
      <c r="S317" s="71"/>
      <c r="T317" s="68"/>
      <c r="U317" s="26"/>
      <c r="V317" s="68"/>
      <c r="W317" s="70"/>
      <c r="X317" s="68"/>
      <c r="Y317" s="68"/>
      <c r="Z317" s="68"/>
      <c r="AA317" s="29"/>
      <c r="AB317" s="29"/>
      <c r="AC317" s="30"/>
      <c r="AD317" s="68"/>
      <c r="AE317" s="71"/>
      <c r="AF317" s="71"/>
      <c r="AG317" s="71"/>
      <c r="AH317" s="69"/>
      <c r="AI317" s="69"/>
    </row>
    <row r="318" ht="19.5" customHeight="1">
      <c r="A318" s="20">
        <v>317.0</v>
      </c>
      <c r="B318" s="20">
        <f t="shared" si="1"/>
        <v>317</v>
      </c>
      <c r="C318" s="20" t="s">
        <v>738</v>
      </c>
      <c r="D318" s="20" t="s">
        <v>882</v>
      </c>
      <c r="E318" s="20" t="s">
        <v>883</v>
      </c>
      <c r="F318" s="20" t="s">
        <v>883</v>
      </c>
      <c r="G318" s="20" t="s">
        <v>972</v>
      </c>
      <c r="H318" s="33" t="s">
        <v>973</v>
      </c>
      <c r="I318" s="68"/>
      <c r="J318" s="71"/>
      <c r="K318" s="71"/>
      <c r="L318" s="67"/>
      <c r="M318" s="67"/>
      <c r="N318" s="68"/>
      <c r="O318" s="68"/>
      <c r="P318" s="68"/>
      <c r="Q318" s="20" t="s">
        <v>886</v>
      </c>
      <c r="R318" s="68"/>
      <c r="S318" s="71"/>
      <c r="T318" s="68"/>
      <c r="U318" s="26"/>
      <c r="V318" s="68"/>
      <c r="W318" s="70"/>
      <c r="X318" s="68"/>
      <c r="Y318" s="68"/>
      <c r="Z318" s="68"/>
      <c r="AA318" s="29"/>
      <c r="AB318" s="29"/>
      <c r="AC318" s="30"/>
      <c r="AD318" s="68"/>
      <c r="AE318" s="71"/>
      <c r="AF318" s="71"/>
      <c r="AG318" s="71"/>
      <c r="AH318" s="69"/>
      <c r="AI318" s="69"/>
    </row>
    <row r="319" ht="19.5" customHeight="1">
      <c r="A319" s="20">
        <v>318.0</v>
      </c>
      <c r="B319" s="20">
        <f t="shared" si="1"/>
        <v>318</v>
      </c>
      <c r="C319" s="20" t="s">
        <v>738</v>
      </c>
      <c r="D319" s="20" t="s">
        <v>882</v>
      </c>
      <c r="E319" s="20" t="s">
        <v>883</v>
      </c>
      <c r="F319" s="20" t="s">
        <v>883</v>
      </c>
      <c r="G319" s="20" t="s">
        <v>974</v>
      </c>
      <c r="H319" s="33" t="s">
        <v>975</v>
      </c>
      <c r="I319" s="68"/>
      <c r="J319" s="71"/>
      <c r="K319" s="71"/>
      <c r="L319" s="67"/>
      <c r="M319" s="67"/>
      <c r="N319" s="68"/>
      <c r="O319" s="68"/>
      <c r="P319" s="68"/>
      <c r="Q319" s="20" t="s">
        <v>886</v>
      </c>
      <c r="R319" s="68"/>
      <c r="S319" s="71"/>
      <c r="T319" s="68"/>
      <c r="U319" s="26"/>
      <c r="V319" s="68"/>
      <c r="W319" s="70"/>
      <c r="X319" s="68"/>
      <c r="Y319" s="68"/>
      <c r="Z319" s="68"/>
      <c r="AA319" s="29"/>
      <c r="AB319" s="29"/>
      <c r="AC319" s="30"/>
      <c r="AD319" s="68"/>
      <c r="AE319" s="71"/>
      <c r="AF319" s="71"/>
      <c r="AG319" s="71"/>
      <c r="AH319" s="69"/>
      <c r="AI319" s="69"/>
    </row>
    <row r="320" ht="19.5" customHeight="1">
      <c r="A320" s="20">
        <v>319.0</v>
      </c>
      <c r="B320" s="20">
        <f t="shared" si="1"/>
        <v>319</v>
      </c>
      <c r="C320" s="20" t="s">
        <v>738</v>
      </c>
      <c r="D320" s="20" t="s">
        <v>882</v>
      </c>
      <c r="E320" s="20" t="s">
        <v>883</v>
      </c>
      <c r="F320" s="20" t="s">
        <v>883</v>
      </c>
      <c r="G320" s="20" t="s">
        <v>976</v>
      </c>
      <c r="H320" s="33" t="s">
        <v>977</v>
      </c>
      <c r="I320" s="68"/>
      <c r="J320" s="71"/>
      <c r="K320" s="71"/>
      <c r="L320" s="67"/>
      <c r="M320" s="67"/>
      <c r="N320" s="68"/>
      <c r="O320" s="68"/>
      <c r="P320" s="68"/>
      <c r="Q320" s="20" t="s">
        <v>886</v>
      </c>
      <c r="R320" s="68"/>
      <c r="S320" s="71"/>
      <c r="T320" s="68"/>
      <c r="U320" s="26"/>
      <c r="V320" s="68"/>
      <c r="W320" s="70"/>
      <c r="X320" s="68"/>
      <c r="Y320" s="68"/>
      <c r="Z320" s="68"/>
      <c r="AA320" s="29"/>
      <c r="AB320" s="29"/>
      <c r="AC320" s="30"/>
      <c r="AD320" s="68"/>
      <c r="AE320" s="71"/>
      <c r="AF320" s="71"/>
      <c r="AG320" s="71"/>
      <c r="AH320" s="69"/>
      <c r="AI320" s="69"/>
    </row>
    <row r="321" ht="19.5" customHeight="1">
      <c r="A321" s="20">
        <v>320.0</v>
      </c>
      <c r="B321" s="20">
        <f t="shared" si="1"/>
        <v>320</v>
      </c>
      <c r="C321" s="20" t="s">
        <v>738</v>
      </c>
      <c r="D321" s="20" t="s">
        <v>882</v>
      </c>
      <c r="E321" s="20" t="s">
        <v>883</v>
      </c>
      <c r="F321" s="20" t="s">
        <v>883</v>
      </c>
      <c r="G321" s="20" t="s">
        <v>978</v>
      </c>
      <c r="H321" s="33" t="s">
        <v>979</v>
      </c>
      <c r="I321" s="68"/>
      <c r="J321" s="71"/>
      <c r="K321" s="71"/>
      <c r="L321" s="67"/>
      <c r="M321" s="67"/>
      <c r="N321" s="68"/>
      <c r="O321" s="68"/>
      <c r="P321" s="68"/>
      <c r="Q321" s="20" t="s">
        <v>886</v>
      </c>
      <c r="R321" s="68"/>
      <c r="S321" s="71"/>
      <c r="T321" s="68"/>
      <c r="U321" s="26"/>
      <c r="V321" s="68"/>
      <c r="W321" s="70"/>
      <c r="X321" s="68"/>
      <c r="Y321" s="68"/>
      <c r="Z321" s="68"/>
      <c r="AA321" s="29"/>
      <c r="AB321" s="29"/>
      <c r="AC321" s="30"/>
      <c r="AD321" s="68"/>
      <c r="AE321" s="71"/>
      <c r="AF321" s="71"/>
      <c r="AG321" s="71"/>
      <c r="AH321" s="69"/>
      <c r="AI321" s="69"/>
    </row>
    <row r="322" ht="19.5" customHeight="1">
      <c r="A322" s="20">
        <v>321.0</v>
      </c>
      <c r="B322" s="20">
        <f t="shared" si="1"/>
        <v>321</v>
      </c>
      <c r="C322" s="20" t="s">
        <v>738</v>
      </c>
      <c r="D322" s="20" t="s">
        <v>882</v>
      </c>
      <c r="E322" s="20" t="s">
        <v>883</v>
      </c>
      <c r="F322" s="20" t="s">
        <v>883</v>
      </c>
      <c r="G322" s="20" t="s">
        <v>980</v>
      </c>
      <c r="H322" s="33" t="s">
        <v>981</v>
      </c>
      <c r="I322" s="68"/>
      <c r="J322" s="71"/>
      <c r="K322" s="71"/>
      <c r="L322" s="67"/>
      <c r="M322" s="67"/>
      <c r="N322" s="68"/>
      <c r="O322" s="68"/>
      <c r="P322" s="68"/>
      <c r="Q322" s="20" t="s">
        <v>886</v>
      </c>
      <c r="R322" s="68"/>
      <c r="S322" s="71"/>
      <c r="T322" s="68"/>
      <c r="U322" s="26"/>
      <c r="V322" s="68"/>
      <c r="W322" s="70"/>
      <c r="X322" s="68"/>
      <c r="Y322" s="68"/>
      <c r="Z322" s="68"/>
      <c r="AA322" s="29"/>
      <c r="AB322" s="29"/>
      <c r="AC322" s="30"/>
      <c r="AD322" s="68"/>
      <c r="AE322" s="71"/>
      <c r="AF322" s="71"/>
      <c r="AG322" s="71"/>
      <c r="AH322" s="69"/>
      <c r="AI322" s="69"/>
    </row>
    <row r="323" ht="19.5" customHeight="1">
      <c r="A323" s="20">
        <v>322.0</v>
      </c>
      <c r="B323" s="20">
        <f t="shared" si="1"/>
        <v>322</v>
      </c>
      <c r="C323" s="20" t="s">
        <v>738</v>
      </c>
      <c r="D323" s="20" t="s">
        <v>882</v>
      </c>
      <c r="E323" s="20" t="s">
        <v>883</v>
      </c>
      <c r="F323" s="20" t="s">
        <v>883</v>
      </c>
      <c r="G323" s="20" t="s">
        <v>982</v>
      </c>
      <c r="H323" s="33" t="s">
        <v>983</v>
      </c>
      <c r="I323" s="68"/>
      <c r="J323" s="71"/>
      <c r="K323" s="71"/>
      <c r="L323" s="67"/>
      <c r="M323" s="67"/>
      <c r="N323" s="68"/>
      <c r="O323" s="68"/>
      <c r="P323" s="68"/>
      <c r="Q323" s="20" t="s">
        <v>886</v>
      </c>
      <c r="R323" s="68"/>
      <c r="S323" s="71"/>
      <c r="T323" s="68"/>
      <c r="U323" s="26"/>
      <c r="V323" s="68"/>
      <c r="W323" s="70"/>
      <c r="X323" s="68"/>
      <c r="Y323" s="68"/>
      <c r="Z323" s="68"/>
      <c r="AA323" s="29"/>
      <c r="AB323" s="29"/>
      <c r="AC323" s="30"/>
      <c r="AD323" s="68"/>
      <c r="AE323" s="71"/>
      <c r="AF323" s="71"/>
      <c r="AG323" s="71"/>
      <c r="AH323" s="69"/>
      <c r="AI323" s="69"/>
    </row>
    <row r="324" ht="19.5" customHeight="1">
      <c r="A324" s="20">
        <v>323.0</v>
      </c>
      <c r="B324" s="20">
        <f t="shared" si="1"/>
        <v>323</v>
      </c>
      <c r="C324" s="20" t="s">
        <v>738</v>
      </c>
      <c r="D324" s="20" t="s">
        <v>882</v>
      </c>
      <c r="E324" s="20" t="s">
        <v>883</v>
      </c>
      <c r="F324" s="20" t="s">
        <v>883</v>
      </c>
      <c r="G324" s="20" t="s">
        <v>984</v>
      </c>
      <c r="H324" s="33" t="s">
        <v>985</v>
      </c>
      <c r="I324" s="68"/>
      <c r="J324" s="71"/>
      <c r="K324" s="71"/>
      <c r="L324" s="67"/>
      <c r="M324" s="67"/>
      <c r="N324" s="68"/>
      <c r="O324" s="68"/>
      <c r="P324" s="68"/>
      <c r="Q324" s="20" t="s">
        <v>886</v>
      </c>
      <c r="R324" s="68"/>
      <c r="S324" s="71"/>
      <c r="T324" s="68"/>
      <c r="U324" s="26"/>
      <c r="V324" s="68"/>
      <c r="W324" s="70"/>
      <c r="X324" s="68"/>
      <c r="Y324" s="68"/>
      <c r="Z324" s="68"/>
      <c r="AA324" s="29"/>
      <c r="AB324" s="29"/>
      <c r="AC324" s="30"/>
      <c r="AD324" s="68"/>
      <c r="AE324" s="71"/>
      <c r="AF324" s="71"/>
      <c r="AG324" s="71"/>
      <c r="AH324" s="69"/>
      <c r="AI324" s="69"/>
    </row>
    <row r="325" ht="19.5" customHeight="1">
      <c r="A325" s="20">
        <v>324.0</v>
      </c>
      <c r="B325" s="20">
        <f t="shared" si="1"/>
        <v>324</v>
      </c>
      <c r="C325" s="20" t="s">
        <v>738</v>
      </c>
      <c r="D325" s="20" t="s">
        <v>882</v>
      </c>
      <c r="E325" s="20" t="s">
        <v>883</v>
      </c>
      <c r="F325" s="20" t="s">
        <v>883</v>
      </c>
      <c r="G325" s="20" t="s">
        <v>986</v>
      </c>
      <c r="H325" s="33" t="s">
        <v>987</v>
      </c>
      <c r="I325" s="68"/>
      <c r="J325" s="71"/>
      <c r="K325" s="71"/>
      <c r="L325" s="67"/>
      <c r="M325" s="67"/>
      <c r="N325" s="68"/>
      <c r="O325" s="68"/>
      <c r="P325" s="68"/>
      <c r="Q325" s="20" t="s">
        <v>886</v>
      </c>
      <c r="R325" s="68"/>
      <c r="S325" s="71"/>
      <c r="T325" s="68"/>
      <c r="U325" s="26"/>
      <c r="V325" s="68"/>
      <c r="W325" s="70"/>
      <c r="X325" s="68"/>
      <c r="Y325" s="68"/>
      <c r="Z325" s="68"/>
      <c r="AA325" s="29"/>
      <c r="AB325" s="29"/>
      <c r="AC325" s="30"/>
      <c r="AD325" s="68"/>
      <c r="AE325" s="71"/>
      <c r="AF325" s="71"/>
      <c r="AG325" s="71"/>
      <c r="AH325" s="69"/>
      <c r="AI325" s="69"/>
    </row>
  </sheetData>
  <customSheetViews>
    <customSheetView guid="{7D01FF97-A283-413A-994E-B2A33BED5674}" filter="1" showAutoFilter="1">
      <autoFilter ref="$A$1:$AI$325">
        <filterColumn colId="29">
          <filters>
            <filter val="최수연"/>
          </filters>
        </filterColumn>
        <sortState ref="A1:AI325">
          <sortCondition ref="J1:J325"/>
        </sortState>
      </autoFilter>
      <extLst>
        <ext uri="GoogleSheetsCustomDataVersion1">
          <go:sheetsCustomData xmlns:go="http://customooxmlschemas.google.com/" filterViewId="1309921002"/>
        </ext>
      </extLst>
    </customSheetView>
    <customSheetView guid="{6BB689D2-B0B1-434F-8A95-88E46BA64DC1}" filter="1" showAutoFilter="1">
      <autoFilter ref="$A$1:$AI$325">
        <filterColumn colId="27">
          <filters>
            <filter val="2026-09-03"/>
          </filters>
        </filterColumn>
        <sortState ref="A1:AI325">
          <sortCondition ref="J1:J325"/>
        </sortState>
      </autoFilter>
      <extLst>
        <ext uri="GoogleSheetsCustomDataVersion1">
          <go:sheetsCustomData xmlns:go="http://customooxmlschemas.google.com/" filterViewId="1643213962"/>
        </ext>
      </extLst>
    </customSheetView>
    <customSheetView guid="{91FDE5B3-7239-4E30-9BCD-BA193E0F858B}" filter="1" showAutoFilter="1">
      <autoFilter ref="$A$1:$AI$325"/>
      <extLst>
        <ext uri="GoogleSheetsCustomDataVersion1">
          <go:sheetsCustomData xmlns:go="http://customooxmlschemas.google.com/" filterViewId="509179911"/>
        </ext>
      </extLst>
    </customSheetView>
    <customSheetView guid="{B245093E-39BB-4DDC-BF05-4B25DFC58274}" filter="1" showAutoFilter="1">
      <autoFilter ref="$A$1:$AI$325">
        <sortState ref="A1:AI325">
          <sortCondition ref="J1:J325"/>
        </sortState>
      </autoFilter>
      <extLst>
        <ext uri="GoogleSheetsCustomDataVersion1">
          <go:sheetsCustomData xmlns:go="http://customooxmlschemas.google.com/" filterViewId="989955631"/>
        </ext>
      </extLst>
    </customSheetView>
  </customSheetViews>
  <dataValidations>
    <dataValidation type="custom" allowBlank="1" showDropDown="1" sqref="J2:M325 S2:S325 W2:W325 AA2:AB325 AE2:AG325">
      <formula1>OR(NOT(ISERROR(DATEVALUE(J2))), AND(ISNUMBER(J2), LEFT(CELL("format", J2))="D"))</formula1>
    </dataValidation>
    <dataValidation type="list" allowBlank="1" sqref="AC2:AC325">
      <formula1>"(업무)설계서수령,(업무)비고-확인,(퍼블)화면접수,(퍼블)작성진행,(퍼블)전달완료,(업무)삭제,(업무)수정요청,(업무)비고-누락"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0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9.5" customHeight="1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ht="19.5" customHeight="1">
      <c r="A3" s="1"/>
      <c r="B3" s="3">
        <v>1300.0</v>
      </c>
      <c r="C3" s="5">
        <f>count('WBS(전체)'!A4:A1300)</f>
        <v>324</v>
      </c>
      <c r="D3" s="5">
        <f>COUNTIF(경주운영관리시스템_WBS[퍼블진행상태], "(업무)설계서수령")</f>
        <v>71</v>
      </c>
      <c r="E3" s="5">
        <f>COUNTIFS(경주운영관리시스템_WBS[퍼블종료일], "&lt;&gt;", 경주운영관리시스템_WBS[퍼블종료일], "&lt;&gt;*(*", 경주운영관리시스템_WBS[퍼블종료일], "&lt;&gt;*)*")
</f>
        <v>16</v>
      </c>
      <c r="F3" s="5">
        <f>COUNTIF(경주운영관리시스템_WBS[퍼블진행상태], "(퍼블)전달완료")</f>
        <v>10</v>
      </c>
      <c r="G3" s="5">
        <f>COUNTIF(경주운영관리시스템_WBS[퍼블진행상태], "(업무)삭제")</f>
        <v>0</v>
      </c>
      <c r="H3" s="5">
        <f>COUNTIF(경주운영관리시스템_WBS[퍼블진행상태], "(업무)수정요청")</f>
        <v>0</v>
      </c>
      <c r="I3" s="5">
        <f>COUNTIF(경주운영관리시스템_WBS[퍼블진행상태], "(업무)비고-확인") + COUNTIF(경주운영관리시스템_WBS[퍼블진행상태], "(업무)비고-누락")
</f>
        <v>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19.5" customHeight="1">
      <c r="A4" s="1"/>
      <c r="B4" s="1"/>
      <c r="C4" s="1"/>
      <c r="D4" s="1"/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ht="19.5" customHeight="1">
      <c r="A5" s="1"/>
      <c r="B5" s="1"/>
      <c r="C5" s="1"/>
      <c r="D5" s="1"/>
      <c r="E5" s="35">
        <f>COUNTIFS(경주운영관리시스템_WBS[퍼블전달일], "=", 경주운영관리시스템_WBS[퍼블종료일], "&lt;&gt;", 경주운영관리시스템_WBS[퍼블종료일], "&lt;&gt;*(*", 경주운영관리시스템_WBS[퍼블종료일], "&lt;&gt;*)*")</f>
        <v>6</v>
      </c>
      <c r="F5" s="35">
        <f>COUNTIF(경주운영관리시스템_WBS[퍼블진행상태], "(업무)수정요청") + COUNTIF(경주운영관리시스템_WBS[퍼블진행상태], "(퍼블)전달완료")
</f>
        <v>10</v>
      </c>
      <c r="G5" s="35">
        <f>COUNTIFS(경주운영관리시스템_WBS[퍼블전달일], "&lt;&gt;", 경주운영관리시스템_WBS[퍼블전달일], "&lt;&gt;*(*", 경주운영관리시스템_WBS[퍼블전달일], "&lt;&gt;*)*", 경주운영관리시스템_WBS[퍼블진행상태], "&lt;&gt;(업무)삭제")</f>
        <v>10</v>
      </c>
      <c r="H5" s="35">
        <f>B3 * 0.15</f>
        <v>195</v>
      </c>
      <c r="I5" s="35">
        <f>COUNTIF(경주운영관리시스템_WBS[퍼블진행상태], "(업무)비고-누락")</f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ht="19.5" customHeight="1">
      <c r="A6" s="1"/>
      <c r="B6" s="1"/>
      <c r="C6" s="1"/>
      <c r="D6" s="1"/>
      <c r="E6" s="1"/>
      <c r="F6" s="1"/>
      <c r="G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ht="19.5" customHeight="1">
      <c r="A7" s="1"/>
      <c r="B7" s="1"/>
      <c r="C7" s="1"/>
      <c r="D7" s="1"/>
      <c r="E7" s="1"/>
      <c r="F7" s="1"/>
      <c r="G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ht="19.5" customHeight="1">
      <c r="A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ht="19.5" customHeight="1">
      <c r="A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ht="19.5" customHeight="1">
      <c r="A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ht="19.5" customHeight="1">
      <c r="A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1.0"/>
    <col customWidth="1" min="3" max="4" width="13.88"/>
    <col customWidth="1" min="5" max="5" width="16.0"/>
  </cols>
  <sheetData>
    <row r="1" ht="22.5" customHeight="1">
      <c r="A1" s="36" t="s">
        <v>8</v>
      </c>
      <c r="B1" s="36" t="s">
        <v>138</v>
      </c>
      <c r="C1" s="36" t="s">
        <v>141</v>
      </c>
      <c r="D1" s="36" t="s">
        <v>142</v>
      </c>
      <c r="E1" s="36" t="s">
        <v>143</v>
      </c>
    </row>
    <row r="2" ht="22.5" customHeight="1">
      <c r="A2" s="37">
        <v>1.0</v>
      </c>
      <c r="B2" s="37" t="s">
        <v>146</v>
      </c>
      <c r="C2" s="38">
        <v>46269.0</v>
      </c>
      <c r="D2" s="38"/>
      <c r="E2" s="39">
        <f t="shared" ref="E2:E5" si="1">IF(C2="", "", MIN(1, ROUND(NETWORKDAYS(C2, IF(D2="", TODAY(), D2)) / 21, 2)))</f>
        <v>0.05</v>
      </c>
    </row>
    <row r="3" ht="22.5" customHeight="1">
      <c r="A3" s="37">
        <v>2.0</v>
      </c>
      <c r="B3" s="37" t="s">
        <v>151</v>
      </c>
      <c r="C3" s="38">
        <v>46269.0</v>
      </c>
      <c r="D3" s="38"/>
      <c r="E3" s="39">
        <f t="shared" si="1"/>
        <v>0.05</v>
      </c>
    </row>
    <row r="4" ht="22.5" customHeight="1">
      <c r="A4" s="37">
        <v>3.0</v>
      </c>
      <c r="B4" s="37" t="s">
        <v>152</v>
      </c>
      <c r="C4" s="38">
        <v>46269.0</v>
      </c>
      <c r="D4" s="38"/>
      <c r="E4" s="39">
        <f t="shared" si="1"/>
        <v>0.05</v>
      </c>
    </row>
    <row r="5" ht="22.5" customHeight="1">
      <c r="A5" s="37">
        <v>4.0</v>
      </c>
      <c r="B5" s="39"/>
      <c r="C5" s="40"/>
      <c r="D5" s="41"/>
      <c r="E5" s="39" t="str">
        <f t="shared" si="1"/>
        <v/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63.0"/>
    <col customWidth="1" min="3" max="3" width="148.25"/>
    <col customWidth="1" min="4" max="4" width="15.63"/>
    <col customWidth="1" min="5" max="5" width="16.13"/>
  </cols>
  <sheetData>
    <row r="1">
      <c r="A1" s="42" t="s">
        <v>8</v>
      </c>
      <c r="B1" s="43" t="s">
        <v>185</v>
      </c>
      <c r="C1" s="44" t="s">
        <v>186</v>
      </c>
      <c r="D1" s="42" t="s">
        <v>37</v>
      </c>
      <c r="E1" s="42" t="s">
        <v>187</v>
      </c>
      <c r="F1" s="42" t="s">
        <v>188</v>
      </c>
    </row>
    <row r="2">
      <c r="A2" s="45">
        <v>1.0</v>
      </c>
      <c r="B2" s="46" t="s">
        <v>189</v>
      </c>
      <c r="C2" s="47" t="s">
        <v>190</v>
      </c>
      <c r="D2" s="48"/>
      <c r="E2" s="48"/>
      <c r="F2" s="49">
        <v>46269.0</v>
      </c>
    </row>
    <row r="3" ht="348.0" customHeight="1">
      <c r="A3" s="45">
        <v>2.0</v>
      </c>
      <c r="B3" s="50" t="s">
        <v>193</v>
      </c>
      <c r="C3" s="47" t="s">
        <v>196</v>
      </c>
      <c r="D3" s="45" t="s">
        <v>197</v>
      </c>
      <c r="E3" s="45" t="s">
        <v>198</v>
      </c>
      <c r="F3" s="49">
        <v>46269.0</v>
      </c>
    </row>
    <row r="4" ht="371.25" customHeight="1">
      <c r="A4" s="45">
        <v>3.0</v>
      </c>
      <c r="B4" s="46" t="s">
        <v>199</v>
      </c>
      <c r="C4" s="47" t="s">
        <v>200</v>
      </c>
      <c r="D4" s="45" t="s">
        <v>201</v>
      </c>
      <c r="E4" s="45" t="s">
        <v>202</v>
      </c>
      <c r="F4" s="49">
        <v>46269.0</v>
      </c>
    </row>
    <row r="5" ht="289.5" customHeight="1">
      <c r="A5" s="45">
        <v>4.0</v>
      </c>
      <c r="B5" s="50" t="s">
        <v>203</v>
      </c>
      <c r="C5" s="47" t="s">
        <v>204</v>
      </c>
      <c r="D5" s="45" t="s">
        <v>205</v>
      </c>
      <c r="E5" s="45" t="s">
        <v>125</v>
      </c>
      <c r="F5" s="49">
        <v>46269.0</v>
      </c>
    </row>
    <row r="6">
      <c r="A6" s="45">
        <v>5.0</v>
      </c>
      <c r="C6" s="1"/>
      <c r="D6" s="48"/>
      <c r="E6" s="48"/>
      <c r="F6" s="51"/>
    </row>
    <row r="7">
      <c r="A7" s="45">
        <v>6.0</v>
      </c>
      <c r="C7" s="1"/>
      <c r="D7" s="48"/>
      <c r="E7" s="48"/>
      <c r="F7" s="51"/>
    </row>
    <row r="8">
      <c r="A8" s="45">
        <v>7.0</v>
      </c>
      <c r="C8" s="1"/>
      <c r="D8" s="48"/>
      <c r="E8" s="48"/>
      <c r="F8" s="51"/>
    </row>
    <row r="9">
      <c r="A9" s="45">
        <v>8.0</v>
      </c>
      <c r="C9" s="1"/>
      <c r="D9" s="48"/>
      <c r="E9" s="48"/>
      <c r="F9" s="51"/>
    </row>
    <row r="10">
      <c r="A10" s="45">
        <v>9.0</v>
      </c>
      <c r="C10" s="1"/>
      <c r="D10" s="48"/>
      <c r="E10" s="48"/>
      <c r="F10" s="51"/>
    </row>
    <row r="11">
      <c r="A11" s="45">
        <v>10.0</v>
      </c>
      <c r="C11" s="1"/>
      <c r="D11" s="48"/>
      <c r="E11" s="48"/>
      <c r="F11" s="51"/>
    </row>
    <row r="12">
      <c r="A12" s="45">
        <v>11.0</v>
      </c>
      <c r="C12" s="1"/>
      <c r="D12" s="48"/>
      <c r="E12" s="48"/>
      <c r="F12" s="51"/>
    </row>
    <row r="13">
      <c r="A13" s="45">
        <v>12.0</v>
      </c>
      <c r="C13" s="1"/>
      <c r="D13" s="48"/>
      <c r="E13" s="48"/>
      <c r="F13" s="51"/>
    </row>
    <row r="14">
      <c r="A14" s="45">
        <v>13.0</v>
      </c>
      <c r="C14" s="1"/>
      <c r="D14" s="48"/>
      <c r="E14" s="48"/>
      <c r="F14" s="51"/>
    </row>
    <row r="15">
      <c r="A15" s="45">
        <v>14.0</v>
      </c>
      <c r="C15" s="1"/>
      <c r="D15" s="48"/>
      <c r="E15" s="48"/>
      <c r="F15" s="51"/>
    </row>
    <row r="16">
      <c r="A16" s="45">
        <v>15.0</v>
      </c>
      <c r="C16" s="1"/>
      <c r="D16" s="48"/>
      <c r="E16" s="48"/>
      <c r="F16" s="51"/>
    </row>
    <row r="17">
      <c r="A17" s="45">
        <v>16.0</v>
      </c>
      <c r="C17" s="1"/>
      <c r="D17" s="48"/>
      <c r="E17" s="48"/>
      <c r="F17" s="51"/>
    </row>
    <row r="18">
      <c r="A18" s="45">
        <v>17.0</v>
      </c>
      <c r="C18" s="1"/>
      <c r="D18" s="48"/>
      <c r="E18" s="48"/>
      <c r="F18" s="51"/>
    </row>
    <row r="19">
      <c r="A19" s="45">
        <v>18.0</v>
      </c>
      <c r="C19" s="1"/>
      <c r="D19" s="48"/>
      <c r="E19" s="48"/>
      <c r="F19" s="51"/>
    </row>
    <row r="20">
      <c r="A20" s="45">
        <v>19.0</v>
      </c>
      <c r="C20" s="1"/>
      <c r="D20" s="48"/>
      <c r="E20" s="48"/>
      <c r="F20" s="51"/>
    </row>
    <row r="21">
      <c r="A21" s="45">
        <v>20.0</v>
      </c>
      <c r="C21" s="1"/>
      <c r="D21" s="48"/>
      <c r="E21" s="48"/>
      <c r="F21" s="51"/>
    </row>
    <row r="22">
      <c r="A22" s="45">
        <v>21.0</v>
      </c>
      <c r="C22" s="1"/>
      <c r="D22" s="48"/>
      <c r="E22" s="48"/>
      <c r="F22" s="51"/>
    </row>
    <row r="23">
      <c r="A23" s="45">
        <v>22.0</v>
      </c>
      <c r="C23" s="1"/>
      <c r="D23" s="48"/>
      <c r="E23" s="48"/>
      <c r="F23" s="51"/>
    </row>
    <row r="24">
      <c r="A24" s="45">
        <v>23.0</v>
      </c>
      <c r="C24" s="1"/>
      <c r="D24" s="48"/>
      <c r="E24" s="48"/>
      <c r="F24" s="51"/>
    </row>
    <row r="25">
      <c r="A25" s="45">
        <v>24.0</v>
      </c>
      <c r="C25" s="1"/>
      <c r="D25" s="48"/>
      <c r="E25" s="48"/>
      <c r="F25" s="51"/>
    </row>
    <row r="26">
      <c r="A26" s="45">
        <v>25.0</v>
      </c>
      <c r="C26" s="1"/>
      <c r="D26" s="48"/>
      <c r="E26" s="48"/>
      <c r="F26" s="51"/>
    </row>
    <row r="27">
      <c r="A27" s="45">
        <v>26.0</v>
      </c>
      <c r="C27" s="1"/>
      <c r="D27" s="48"/>
      <c r="E27" s="48"/>
      <c r="F27" s="51"/>
    </row>
    <row r="28">
      <c r="A28" s="45">
        <v>27.0</v>
      </c>
      <c r="C28" s="1"/>
      <c r="D28" s="48"/>
      <c r="E28" s="48"/>
      <c r="F28" s="51"/>
    </row>
    <row r="29">
      <c r="A29" s="45">
        <v>28.0</v>
      </c>
      <c r="C29" s="1"/>
      <c r="D29" s="48"/>
      <c r="E29" s="48"/>
      <c r="F29" s="51"/>
    </row>
    <row r="30">
      <c r="A30" s="45">
        <v>29.0</v>
      </c>
      <c r="C30" s="1"/>
      <c r="D30" s="48"/>
      <c r="E30" s="48"/>
      <c r="F30" s="51"/>
    </row>
    <row r="31">
      <c r="A31" s="45">
        <v>30.0</v>
      </c>
      <c r="C31" s="1"/>
      <c r="D31" s="48"/>
      <c r="E31" s="48"/>
      <c r="F31" s="51"/>
    </row>
    <row r="32">
      <c r="A32" s="45">
        <v>31.0</v>
      </c>
      <c r="C32" s="1"/>
      <c r="D32" s="48"/>
      <c r="E32" s="48"/>
      <c r="F32" s="51"/>
    </row>
    <row r="33">
      <c r="A33" s="45">
        <v>32.0</v>
      </c>
      <c r="C33" s="1"/>
      <c r="D33" s="48"/>
      <c r="E33" s="48"/>
      <c r="F33" s="51"/>
    </row>
    <row r="34">
      <c r="A34" s="45">
        <v>33.0</v>
      </c>
      <c r="C34" s="1"/>
      <c r="D34" s="48"/>
      <c r="E34" s="48"/>
      <c r="F34" s="51"/>
    </row>
    <row r="35">
      <c r="A35" s="45">
        <v>34.0</v>
      </c>
      <c r="C35" s="1"/>
      <c r="D35" s="48"/>
      <c r="E35" s="48"/>
      <c r="F35" s="51"/>
    </row>
    <row r="36">
      <c r="A36" s="45">
        <v>35.0</v>
      </c>
      <c r="C36" s="1"/>
      <c r="D36" s="48"/>
      <c r="E36" s="48"/>
      <c r="F36" s="51"/>
    </row>
    <row r="37">
      <c r="A37" s="45">
        <v>36.0</v>
      </c>
      <c r="C37" s="1"/>
      <c r="D37" s="48"/>
      <c r="E37" s="48"/>
      <c r="F37" s="51"/>
    </row>
    <row r="38">
      <c r="A38" s="45">
        <v>37.0</v>
      </c>
      <c r="C38" s="1"/>
      <c r="D38" s="48"/>
      <c r="E38" s="48"/>
      <c r="F38" s="51"/>
    </row>
    <row r="39">
      <c r="A39" s="45">
        <v>38.0</v>
      </c>
      <c r="C39" s="1"/>
      <c r="D39" s="48"/>
      <c r="E39" s="48"/>
      <c r="F39" s="51"/>
    </row>
    <row r="40">
      <c r="A40" s="45">
        <v>39.0</v>
      </c>
      <c r="C40" s="1"/>
      <c r="D40" s="48"/>
      <c r="E40" s="48"/>
      <c r="F40" s="51"/>
    </row>
    <row r="41">
      <c r="A41" s="45">
        <v>40.0</v>
      </c>
      <c r="C41" s="1"/>
      <c r="D41" s="48"/>
      <c r="E41" s="48"/>
      <c r="F41" s="51"/>
    </row>
    <row r="42">
      <c r="A42" s="45">
        <v>41.0</v>
      </c>
      <c r="C42" s="1"/>
      <c r="D42" s="48"/>
      <c r="E42" s="48"/>
      <c r="F42" s="51"/>
    </row>
    <row r="43">
      <c r="A43" s="45">
        <v>42.0</v>
      </c>
      <c r="C43" s="1"/>
      <c r="D43" s="48"/>
      <c r="E43" s="48"/>
      <c r="F43" s="51"/>
    </row>
    <row r="44">
      <c r="A44" s="45">
        <v>43.0</v>
      </c>
      <c r="C44" s="1"/>
      <c r="D44" s="48"/>
      <c r="E44" s="48"/>
      <c r="F44" s="51"/>
    </row>
    <row r="45">
      <c r="A45" s="45">
        <v>44.0</v>
      </c>
      <c r="C45" s="1"/>
      <c r="D45" s="48"/>
      <c r="E45" s="48"/>
      <c r="F45" s="51"/>
    </row>
    <row r="46">
      <c r="A46" s="45">
        <v>45.0</v>
      </c>
      <c r="C46" s="1"/>
      <c r="D46" s="48"/>
      <c r="E46" s="48"/>
      <c r="F46" s="51"/>
    </row>
    <row r="47">
      <c r="A47" s="45">
        <v>46.0</v>
      </c>
      <c r="C47" s="1"/>
      <c r="D47" s="48"/>
      <c r="E47" s="48"/>
      <c r="F47" s="51"/>
    </row>
    <row r="48">
      <c r="A48" s="45">
        <v>47.0</v>
      </c>
      <c r="C48" s="1"/>
      <c r="D48" s="48"/>
      <c r="E48" s="48"/>
      <c r="F48" s="51"/>
    </row>
    <row r="49">
      <c r="A49" s="45">
        <v>48.0</v>
      </c>
      <c r="C49" s="1"/>
      <c r="D49" s="48"/>
      <c r="E49" s="48"/>
      <c r="F49" s="51"/>
    </row>
    <row r="50">
      <c r="A50" s="45">
        <v>49.0</v>
      </c>
      <c r="C50" s="1"/>
      <c r="D50" s="48"/>
      <c r="E50" s="48"/>
      <c r="F50" s="51"/>
    </row>
    <row r="51">
      <c r="A51" s="48"/>
      <c r="C51" s="1"/>
      <c r="D51" s="48"/>
      <c r="E51" s="48"/>
      <c r="F51" s="51"/>
    </row>
    <row r="52">
      <c r="A52" s="48"/>
      <c r="C52" s="1"/>
      <c r="D52" s="48"/>
      <c r="E52" s="48"/>
      <c r="F52" s="51"/>
    </row>
    <row r="53">
      <c r="A53" s="48"/>
      <c r="C53" s="1"/>
      <c r="D53" s="48"/>
      <c r="E53" s="48"/>
      <c r="F53" s="51"/>
    </row>
    <row r="54">
      <c r="A54" s="48"/>
      <c r="C54" s="1"/>
      <c r="D54" s="48"/>
      <c r="E54" s="48"/>
      <c r="F54" s="51"/>
    </row>
    <row r="55">
      <c r="A55" s="48"/>
      <c r="C55" s="1"/>
      <c r="D55" s="48"/>
      <c r="E55" s="48"/>
      <c r="F55" s="51"/>
    </row>
    <row r="56">
      <c r="A56" s="48"/>
      <c r="C56" s="1"/>
      <c r="D56" s="48"/>
      <c r="E56" s="48"/>
      <c r="F56" s="51"/>
    </row>
    <row r="57">
      <c r="A57" s="48"/>
      <c r="C57" s="1"/>
      <c r="D57" s="48"/>
      <c r="E57" s="48"/>
      <c r="F57" s="51"/>
    </row>
    <row r="58">
      <c r="A58" s="48"/>
      <c r="C58" s="1"/>
      <c r="D58" s="48"/>
      <c r="E58" s="48"/>
      <c r="F58" s="51"/>
    </row>
    <row r="59">
      <c r="A59" s="48"/>
      <c r="C59" s="1"/>
      <c r="D59" s="48"/>
      <c r="E59" s="48"/>
      <c r="F59" s="51"/>
    </row>
    <row r="60">
      <c r="A60" s="48"/>
      <c r="C60" s="1"/>
      <c r="D60" s="48"/>
      <c r="E60" s="48"/>
      <c r="F60" s="51"/>
    </row>
    <row r="61">
      <c r="A61" s="48"/>
      <c r="C61" s="1"/>
      <c r="D61" s="48"/>
      <c r="E61" s="48"/>
      <c r="F61" s="51"/>
    </row>
    <row r="62">
      <c r="A62" s="48"/>
      <c r="C62" s="1"/>
      <c r="D62" s="48"/>
      <c r="E62" s="48"/>
      <c r="F62" s="51"/>
    </row>
    <row r="63">
      <c r="A63" s="48"/>
      <c r="C63" s="1"/>
      <c r="D63" s="48"/>
      <c r="E63" s="48"/>
      <c r="F63" s="51"/>
    </row>
    <row r="64">
      <c r="A64" s="48"/>
      <c r="C64" s="1"/>
      <c r="D64" s="48"/>
      <c r="E64" s="48"/>
      <c r="F64" s="51"/>
    </row>
    <row r="65">
      <c r="A65" s="48"/>
      <c r="C65" s="1"/>
      <c r="D65" s="48"/>
      <c r="E65" s="48"/>
      <c r="F65" s="51"/>
    </row>
    <row r="66">
      <c r="A66" s="48"/>
      <c r="C66" s="1"/>
      <c r="D66" s="48"/>
      <c r="E66" s="48"/>
      <c r="F66" s="51"/>
    </row>
    <row r="67">
      <c r="A67" s="48"/>
      <c r="C67" s="1"/>
      <c r="D67" s="48"/>
      <c r="E67" s="48"/>
      <c r="F67" s="51"/>
    </row>
    <row r="68">
      <c r="A68" s="48"/>
      <c r="C68" s="1"/>
      <c r="D68" s="48"/>
      <c r="E68" s="48"/>
      <c r="F68" s="51"/>
    </row>
    <row r="69">
      <c r="A69" s="48"/>
      <c r="C69" s="1"/>
      <c r="D69" s="48"/>
      <c r="E69" s="48"/>
      <c r="F69" s="51"/>
    </row>
    <row r="70">
      <c r="A70" s="48"/>
      <c r="C70" s="1"/>
      <c r="D70" s="48"/>
      <c r="E70" s="48"/>
      <c r="F70" s="51"/>
    </row>
    <row r="71">
      <c r="A71" s="48"/>
      <c r="C71" s="1"/>
      <c r="D71" s="48"/>
      <c r="E71" s="48"/>
      <c r="F71" s="51"/>
    </row>
    <row r="72">
      <c r="A72" s="48"/>
      <c r="C72" s="1"/>
      <c r="D72" s="48"/>
      <c r="E72" s="48"/>
      <c r="F72" s="51"/>
    </row>
    <row r="73">
      <c r="A73" s="48"/>
      <c r="C73" s="1"/>
      <c r="D73" s="48"/>
      <c r="E73" s="48"/>
      <c r="F73" s="51"/>
    </row>
    <row r="74">
      <c r="A74" s="48"/>
      <c r="C74" s="1"/>
      <c r="D74" s="48"/>
      <c r="E74" s="48"/>
      <c r="F74" s="48"/>
    </row>
    <row r="75">
      <c r="A75" s="48"/>
      <c r="C75" s="1"/>
      <c r="D75" s="48"/>
      <c r="E75" s="48"/>
      <c r="F75" s="48"/>
    </row>
    <row r="76">
      <c r="A76" s="48"/>
      <c r="C76" s="1"/>
      <c r="D76" s="48"/>
      <c r="E76" s="48"/>
      <c r="F76" s="48"/>
    </row>
    <row r="77">
      <c r="A77" s="48"/>
      <c r="C77" s="1"/>
      <c r="D77" s="48"/>
      <c r="E77" s="48"/>
      <c r="F77" s="48"/>
    </row>
    <row r="78">
      <c r="A78" s="48"/>
      <c r="C78" s="1"/>
      <c r="D78" s="48"/>
      <c r="E78" s="48"/>
      <c r="F78" s="48"/>
    </row>
    <row r="79">
      <c r="A79" s="48"/>
      <c r="C79" s="1"/>
      <c r="D79" s="48"/>
      <c r="E79" s="48"/>
      <c r="F79" s="48"/>
    </row>
    <row r="80">
      <c r="A80" s="48"/>
      <c r="C80" s="1"/>
      <c r="D80" s="48"/>
      <c r="E80" s="48"/>
      <c r="F80" s="48"/>
    </row>
    <row r="81">
      <c r="A81" s="48"/>
      <c r="C81" s="1"/>
      <c r="D81" s="48"/>
      <c r="E81" s="48"/>
      <c r="F81" s="48"/>
    </row>
    <row r="82">
      <c r="A82" s="48"/>
      <c r="C82" s="1"/>
      <c r="D82" s="48"/>
      <c r="E82" s="48"/>
      <c r="F82" s="48"/>
    </row>
    <row r="83">
      <c r="A83" s="48"/>
      <c r="C83" s="1"/>
      <c r="D83" s="48"/>
      <c r="E83" s="48"/>
      <c r="F83" s="48"/>
    </row>
    <row r="84">
      <c r="A84" s="48"/>
      <c r="C84" s="1"/>
      <c r="D84" s="48"/>
      <c r="E84" s="48"/>
      <c r="F84" s="48"/>
    </row>
    <row r="85">
      <c r="A85" s="48"/>
      <c r="C85" s="1"/>
      <c r="D85" s="48"/>
      <c r="E85" s="48"/>
      <c r="F85" s="48"/>
    </row>
    <row r="86">
      <c r="A86" s="48"/>
      <c r="C86" s="1"/>
      <c r="D86" s="48"/>
      <c r="E86" s="48"/>
      <c r="F86" s="48"/>
    </row>
    <row r="87">
      <c r="A87" s="48"/>
      <c r="C87" s="1"/>
      <c r="D87" s="48"/>
      <c r="E87" s="48"/>
      <c r="F87" s="48"/>
    </row>
    <row r="88">
      <c r="A88" s="48"/>
      <c r="C88" s="1"/>
      <c r="D88" s="48"/>
      <c r="E88" s="48"/>
      <c r="F88" s="48"/>
    </row>
    <row r="89">
      <c r="A89" s="48"/>
      <c r="C89" s="1"/>
      <c r="D89" s="48"/>
      <c r="E89" s="48"/>
      <c r="F89" s="48"/>
    </row>
    <row r="90">
      <c r="A90" s="48"/>
      <c r="C90" s="1"/>
      <c r="D90" s="48"/>
      <c r="E90" s="48"/>
      <c r="F90" s="48"/>
    </row>
    <row r="91">
      <c r="A91" s="48"/>
      <c r="C91" s="1"/>
      <c r="D91" s="48"/>
      <c r="E91" s="48"/>
      <c r="F91" s="48"/>
    </row>
    <row r="92">
      <c r="A92" s="48"/>
      <c r="C92" s="1"/>
      <c r="D92" s="48"/>
      <c r="E92" s="48"/>
      <c r="F92" s="48"/>
    </row>
    <row r="93">
      <c r="A93" s="48"/>
      <c r="C93" s="1"/>
      <c r="D93" s="48"/>
      <c r="E93" s="48"/>
      <c r="F93" s="48"/>
    </row>
    <row r="94">
      <c r="A94" s="48"/>
      <c r="C94" s="1"/>
      <c r="D94" s="48"/>
      <c r="E94" s="48"/>
      <c r="F94" s="48"/>
    </row>
    <row r="95">
      <c r="A95" s="48"/>
      <c r="C95" s="1"/>
      <c r="D95" s="48"/>
      <c r="E95" s="48"/>
      <c r="F95" s="48"/>
    </row>
    <row r="96">
      <c r="A96" s="48"/>
      <c r="C96" s="1"/>
      <c r="D96" s="48"/>
      <c r="E96" s="48"/>
      <c r="F96" s="48"/>
    </row>
    <row r="97">
      <c r="A97" s="48"/>
      <c r="C97" s="1"/>
      <c r="D97" s="48"/>
      <c r="E97" s="48"/>
      <c r="F97" s="48"/>
    </row>
    <row r="98">
      <c r="A98" s="48"/>
      <c r="C98" s="1"/>
      <c r="D98" s="48"/>
      <c r="E98" s="48"/>
      <c r="F98" s="48"/>
    </row>
    <row r="99">
      <c r="A99" s="48"/>
      <c r="C99" s="1"/>
      <c r="D99" s="48"/>
      <c r="E99" s="48"/>
      <c r="F99" s="48"/>
    </row>
    <row r="100">
      <c r="A100" s="48"/>
      <c r="C100" s="1"/>
      <c r="D100" s="48"/>
      <c r="E100" s="48"/>
      <c r="F100" s="48"/>
    </row>
    <row r="101">
      <c r="A101" s="48"/>
      <c r="C101" s="1"/>
      <c r="D101" s="48"/>
      <c r="E101" s="48"/>
      <c r="F101" s="48"/>
    </row>
    <row r="102">
      <c r="A102" s="48"/>
      <c r="C102" s="1"/>
      <c r="D102" s="48"/>
      <c r="E102" s="48"/>
      <c r="F102" s="48"/>
    </row>
    <row r="103">
      <c r="A103" s="48"/>
      <c r="C103" s="1"/>
      <c r="D103" s="48"/>
      <c r="E103" s="48"/>
      <c r="F103" s="48"/>
    </row>
    <row r="104">
      <c r="A104" s="48"/>
      <c r="C104" s="1"/>
      <c r="D104" s="48"/>
      <c r="E104" s="48"/>
      <c r="F104" s="48"/>
    </row>
    <row r="105">
      <c r="A105" s="48"/>
      <c r="C105" s="1"/>
      <c r="D105" s="48"/>
      <c r="E105" s="48"/>
      <c r="F105" s="48"/>
    </row>
    <row r="106">
      <c r="A106" s="48"/>
      <c r="C106" s="1"/>
      <c r="D106" s="48"/>
      <c r="E106" s="48"/>
      <c r="F106" s="48"/>
    </row>
    <row r="107">
      <c r="A107" s="48"/>
      <c r="C107" s="1"/>
      <c r="D107" s="48"/>
      <c r="E107" s="48"/>
      <c r="F107" s="48"/>
    </row>
    <row r="108">
      <c r="A108" s="48"/>
      <c r="C108" s="1"/>
      <c r="D108" s="48"/>
      <c r="E108" s="48"/>
      <c r="F108" s="48"/>
    </row>
    <row r="109">
      <c r="A109" s="48"/>
      <c r="C109" s="1"/>
      <c r="D109" s="48"/>
      <c r="E109" s="48"/>
      <c r="F109" s="48"/>
    </row>
    <row r="110">
      <c r="A110" s="48"/>
      <c r="C110" s="1"/>
      <c r="D110" s="48"/>
      <c r="E110" s="48"/>
      <c r="F110" s="48"/>
    </row>
    <row r="111">
      <c r="A111" s="48"/>
      <c r="C111" s="1"/>
      <c r="D111" s="48"/>
      <c r="E111" s="48"/>
      <c r="F111" s="48"/>
    </row>
    <row r="112">
      <c r="A112" s="48"/>
      <c r="C112" s="1"/>
      <c r="D112" s="48"/>
      <c r="E112" s="48"/>
      <c r="F112" s="48"/>
    </row>
    <row r="113">
      <c r="A113" s="48"/>
      <c r="C113" s="1"/>
      <c r="D113" s="48"/>
      <c r="E113" s="48"/>
      <c r="F113" s="48"/>
    </row>
    <row r="114">
      <c r="A114" s="48"/>
      <c r="C114" s="1"/>
      <c r="D114" s="48"/>
      <c r="E114" s="48"/>
      <c r="F114" s="48"/>
    </row>
    <row r="115">
      <c r="A115" s="48"/>
      <c r="C115" s="1"/>
      <c r="D115" s="48"/>
      <c r="E115" s="48"/>
      <c r="F115" s="48"/>
    </row>
    <row r="116">
      <c r="A116" s="48"/>
      <c r="C116" s="1"/>
      <c r="D116" s="48"/>
      <c r="E116" s="48"/>
      <c r="F116" s="48"/>
    </row>
    <row r="117">
      <c r="A117" s="48"/>
      <c r="C117" s="1"/>
      <c r="D117" s="48"/>
      <c r="E117" s="48"/>
      <c r="F117" s="48"/>
    </row>
    <row r="118">
      <c r="A118" s="48"/>
      <c r="C118" s="1"/>
      <c r="D118" s="48"/>
      <c r="E118" s="48"/>
      <c r="F118" s="48"/>
    </row>
    <row r="119">
      <c r="A119" s="48"/>
      <c r="C119" s="1"/>
      <c r="D119" s="48"/>
      <c r="E119" s="48"/>
      <c r="F119" s="48"/>
    </row>
    <row r="120">
      <c r="A120" s="48"/>
      <c r="C120" s="1"/>
      <c r="D120" s="48"/>
      <c r="E120" s="48"/>
      <c r="F120" s="48"/>
    </row>
    <row r="121">
      <c r="A121" s="48"/>
      <c r="C121" s="1"/>
      <c r="D121" s="48"/>
      <c r="E121" s="48"/>
      <c r="F121" s="48"/>
    </row>
    <row r="122">
      <c r="A122" s="48"/>
      <c r="C122" s="1"/>
      <c r="D122" s="48"/>
      <c r="E122" s="48"/>
      <c r="F122" s="48"/>
    </row>
    <row r="123">
      <c r="A123" s="48"/>
      <c r="C123" s="1"/>
      <c r="D123" s="48"/>
      <c r="E123" s="48"/>
      <c r="F123" s="48"/>
    </row>
    <row r="124">
      <c r="A124" s="48"/>
      <c r="C124" s="1"/>
      <c r="D124" s="48"/>
      <c r="E124" s="48"/>
      <c r="F124" s="48"/>
    </row>
    <row r="125">
      <c r="A125" s="48"/>
      <c r="C125" s="1"/>
      <c r="D125" s="48"/>
      <c r="E125" s="48"/>
      <c r="F125" s="48"/>
    </row>
    <row r="126">
      <c r="A126" s="48"/>
      <c r="C126" s="1"/>
      <c r="D126" s="48"/>
      <c r="E126" s="48"/>
      <c r="F126" s="48"/>
    </row>
    <row r="127">
      <c r="A127" s="48"/>
      <c r="C127" s="1"/>
      <c r="D127" s="48"/>
      <c r="E127" s="48"/>
      <c r="F127" s="48"/>
    </row>
    <row r="128">
      <c r="A128" s="48"/>
      <c r="C128" s="1"/>
      <c r="D128" s="48"/>
      <c r="E128" s="48"/>
      <c r="F128" s="48"/>
    </row>
    <row r="129">
      <c r="A129" s="48"/>
      <c r="C129" s="1"/>
      <c r="D129" s="48"/>
      <c r="E129" s="48"/>
      <c r="F129" s="48"/>
    </row>
    <row r="130">
      <c r="A130" s="48"/>
      <c r="C130" s="1"/>
      <c r="D130" s="48"/>
      <c r="E130" s="48"/>
      <c r="F130" s="48"/>
    </row>
    <row r="131">
      <c r="A131" s="48"/>
      <c r="C131" s="1"/>
      <c r="D131" s="48"/>
      <c r="E131" s="48"/>
      <c r="F131" s="48"/>
    </row>
    <row r="132">
      <c r="A132" s="48"/>
      <c r="C132" s="1"/>
      <c r="D132" s="48"/>
      <c r="E132" s="48"/>
      <c r="F132" s="48"/>
    </row>
    <row r="133">
      <c r="A133" s="48"/>
      <c r="C133" s="1"/>
      <c r="D133" s="48"/>
      <c r="E133" s="48"/>
      <c r="F133" s="48"/>
    </row>
    <row r="134">
      <c r="A134" s="48"/>
      <c r="C134" s="1"/>
      <c r="D134" s="48"/>
      <c r="E134" s="48"/>
      <c r="F134" s="48"/>
    </row>
    <row r="135">
      <c r="A135" s="48"/>
      <c r="C135" s="1"/>
      <c r="D135" s="48"/>
      <c r="E135" s="48"/>
      <c r="F135" s="48"/>
    </row>
    <row r="136">
      <c r="A136" s="48"/>
      <c r="C136" s="1"/>
      <c r="D136" s="48"/>
      <c r="E136" s="48"/>
      <c r="F136" s="48"/>
    </row>
    <row r="137">
      <c r="A137" s="48"/>
      <c r="C137" s="1"/>
      <c r="D137" s="48"/>
      <c r="E137" s="48"/>
      <c r="F137" s="48"/>
    </row>
    <row r="138">
      <c r="A138" s="48"/>
      <c r="C138" s="1"/>
      <c r="D138" s="48"/>
      <c r="E138" s="48"/>
      <c r="F138" s="48"/>
    </row>
    <row r="139">
      <c r="A139" s="48"/>
      <c r="C139" s="1"/>
      <c r="D139" s="48"/>
      <c r="E139" s="48"/>
      <c r="F139" s="48"/>
    </row>
    <row r="140">
      <c r="A140" s="48"/>
      <c r="C140" s="1"/>
      <c r="D140" s="48"/>
      <c r="E140" s="48"/>
      <c r="F140" s="48"/>
    </row>
    <row r="141">
      <c r="A141" s="48"/>
      <c r="C141" s="1"/>
      <c r="D141" s="48"/>
      <c r="E141" s="48"/>
      <c r="F141" s="48"/>
    </row>
    <row r="142">
      <c r="A142" s="48"/>
      <c r="C142" s="1"/>
      <c r="D142" s="48"/>
      <c r="E142" s="48"/>
      <c r="F142" s="48"/>
    </row>
    <row r="143">
      <c r="A143" s="48"/>
      <c r="C143" s="1"/>
      <c r="D143" s="48"/>
      <c r="E143" s="48"/>
      <c r="F143" s="48"/>
    </row>
    <row r="144">
      <c r="A144" s="48"/>
      <c r="C144" s="1"/>
      <c r="D144" s="48"/>
      <c r="E144" s="48"/>
      <c r="F144" s="48"/>
    </row>
    <row r="145">
      <c r="A145" s="48"/>
      <c r="C145" s="1"/>
      <c r="D145" s="48"/>
      <c r="E145" s="48"/>
      <c r="F145" s="48"/>
    </row>
    <row r="146">
      <c r="A146" s="48"/>
      <c r="C146" s="1"/>
      <c r="D146" s="48"/>
      <c r="E146" s="48"/>
      <c r="F146" s="48"/>
    </row>
    <row r="147">
      <c r="A147" s="48"/>
      <c r="C147" s="1"/>
      <c r="D147" s="48"/>
      <c r="E147" s="48"/>
      <c r="F147" s="48"/>
    </row>
    <row r="148">
      <c r="A148" s="48"/>
      <c r="C148" s="1"/>
      <c r="D148" s="48"/>
      <c r="E148" s="48"/>
      <c r="F148" s="48"/>
    </row>
    <row r="149">
      <c r="A149" s="48"/>
      <c r="C149" s="1"/>
      <c r="D149" s="48"/>
      <c r="E149" s="48"/>
      <c r="F149" s="48"/>
    </row>
    <row r="150">
      <c r="A150" s="48"/>
      <c r="C150" s="1"/>
      <c r="D150" s="48"/>
      <c r="E150" s="48"/>
      <c r="F150" s="48"/>
    </row>
    <row r="151">
      <c r="A151" s="48"/>
      <c r="C151" s="1"/>
      <c r="D151" s="48"/>
      <c r="E151" s="48"/>
      <c r="F151" s="48"/>
    </row>
    <row r="152">
      <c r="A152" s="48"/>
      <c r="C152" s="1"/>
      <c r="D152" s="48"/>
      <c r="E152" s="48"/>
      <c r="F152" s="48"/>
    </row>
    <row r="153">
      <c r="A153" s="48"/>
      <c r="C153" s="1"/>
      <c r="D153" s="48"/>
      <c r="E153" s="48"/>
      <c r="F153" s="48"/>
    </row>
    <row r="154">
      <c r="A154" s="48"/>
      <c r="C154" s="1"/>
      <c r="D154" s="48"/>
      <c r="E154" s="48"/>
      <c r="F154" s="48"/>
    </row>
    <row r="155">
      <c r="A155" s="48"/>
      <c r="C155" s="1"/>
      <c r="D155" s="48"/>
      <c r="E155" s="48"/>
      <c r="F155" s="48"/>
    </row>
    <row r="156">
      <c r="A156" s="48"/>
      <c r="C156" s="1"/>
      <c r="D156" s="48"/>
      <c r="E156" s="48"/>
      <c r="F156" s="48"/>
    </row>
    <row r="157">
      <c r="A157" s="48"/>
      <c r="C157" s="1"/>
      <c r="D157" s="48"/>
      <c r="E157" s="48"/>
      <c r="F157" s="48"/>
    </row>
    <row r="158">
      <c r="A158" s="48"/>
      <c r="C158" s="1"/>
      <c r="D158" s="48"/>
      <c r="E158" s="48"/>
      <c r="F158" s="48"/>
    </row>
    <row r="159">
      <c r="A159" s="48"/>
      <c r="C159" s="1"/>
      <c r="D159" s="48"/>
      <c r="E159" s="48"/>
      <c r="F159" s="48"/>
    </row>
    <row r="160">
      <c r="A160" s="48"/>
      <c r="C160" s="1"/>
      <c r="D160" s="48"/>
      <c r="E160" s="48"/>
      <c r="F160" s="48"/>
    </row>
    <row r="161">
      <c r="A161" s="48"/>
      <c r="C161" s="1"/>
      <c r="D161" s="48"/>
      <c r="E161" s="48"/>
      <c r="F161" s="48"/>
    </row>
    <row r="162">
      <c r="A162" s="48"/>
      <c r="C162" s="1"/>
      <c r="D162" s="48"/>
      <c r="E162" s="48"/>
      <c r="F162" s="48"/>
    </row>
    <row r="163">
      <c r="A163" s="48"/>
      <c r="C163" s="1"/>
      <c r="D163" s="48"/>
      <c r="E163" s="48"/>
      <c r="F163" s="48"/>
    </row>
    <row r="164">
      <c r="A164" s="48"/>
      <c r="C164" s="1"/>
      <c r="D164" s="48"/>
      <c r="E164" s="48"/>
      <c r="F164" s="48"/>
    </row>
    <row r="165">
      <c r="A165" s="48"/>
      <c r="C165" s="1"/>
      <c r="D165" s="48"/>
      <c r="E165" s="48"/>
      <c r="F165" s="48"/>
    </row>
    <row r="166">
      <c r="A166" s="48"/>
      <c r="C166" s="1"/>
      <c r="D166" s="48"/>
      <c r="E166" s="48"/>
      <c r="F166" s="48"/>
    </row>
    <row r="167">
      <c r="A167" s="48"/>
      <c r="C167" s="1"/>
      <c r="D167" s="48"/>
      <c r="E167" s="48"/>
      <c r="F167" s="48"/>
    </row>
    <row r="168">
      <c r="A168" s="48"/>
      <c r="C168" s="1"/>
      <c r="D168" s="48"/>
      <c r="E168" s="48"/>
      <c r="F168" s="48"/>
    </row>
    <row r="169">
      <c r="A169" s="48"/>
      <c r="C169" s="1"/>
      <c r="D169" s="48"/>
      <c r="E169" s="48"/>
      <c r="F169" s="48"/>
    </row>
    <row r="170">
      <c r="A170" s="48"/>
      <c r="C170" s="1"/>
      <c r="D170" s="48"/>
      <c r="E170" s="48"/>
      <c r="F170" s="48"/>
    </row>
    <row r="171">
      <c r="A171" s="48"/>
      <c r="C171" s="1"/>
      <c r="D171" s="48"/>
      <c r="E171" s="48"/>
      <c r="F171" s="48"/>
    </row>
    <row r="172">
      <c r="A172" s="48"/>
      <c r="C172" s="1"/>
      <c r="D172" s="48"/>
      <c r="E172" s="48"/>
      <c r="F172" s="48"/>
    </row>
    <row r="173">
      <c r="A173" s="48"/>
      <c r="C173" s="1"/>
      <c r="D173" s="48"/>
      <c r="E173" s="48"/>
      <c r="F173" s="48"/>
    </row>
    <row r="174">
      <c r="A174" s="48"/>
      <c r="C174" s="1"/>
      <c r="D174" s="48"/>
      <c r="E174" s="48"/>
      <c r="F174" s="48"/>
    </row>
    <row r="175">
      <c r="A175" s="48"/>
      <c r="C175" s="1"/>
      <c r="D175" s="48"/>
      <c r="E175" s="48"/>
      <c r="F175" s="48"/>
    </row>
    <row r="176">
      <c r="A176" s="48"/>
      <c r="C176" s="1"/>
      <c r="D176" s="48"/>
      <c r="E176" s="48"/>
      <c r="F176" s="48"/>
    </row>
    <row r="177">
      <c r="A177" s="48"/>
      <c r="C177" s="1"/>
      <c r="D177" s="48"/>
      <c r="E177" s="48"/>
      <c r="F177" s="48"/>
    </row>
    <row r="178">
      <c r="A178" s="48"/>
      <c r="C178" s="1"/>
      <c r="D178" s="48"/>
      <c r="E178" s="48"/>
      <c r="F178" s="48"/>
    </row>
    <row r="179">
      <c r="A179" s="48"/>
      <c r="C179" s="1"/>
      <c r="D179" s="48"/>
      <c r="E179" s="48"/>
      <c r="F179" s="48"/>
    </row>
    <row r="180">
      <c r="A180" s="48"/>
      <c r="C180" s="1"/>
      <c r="D180" s="48"/>
      <c r="E180" s="48"/>
      <c r="F180" s="48"/>
    </row>
    <row r="181">
      <c r="A181" s="48"/>
      <c r="C181" s="1"/>
      <c r="D181" s="48"/>
      <c r="E181" s="48"/>
      <c r="F181" s="48"/>
    </row>
    <row r="182">
      <c r="A182" s="48"/>
      <c r="C182" s="1"/>
      <c r="D182" s="48"/>
      <c r="E182" s="48"/>
      <c r="F182" s="48"/>
    </row>
    <row r="183">
      <c r="A183" s="48"/>
      <c r="C183" s="1"/>
      <c r="D183" s="48"/>
      <c r="E183" s="48"/>
      <c r="F183" s="48"/>
    </row>
    <row r="184">
      <c r="A184" s="48"/>
      <c r="C184" s="1"/>
      <c r="D184" s="48"/>
      <c r="E184" s="48"/>
      <c r="F184" s="48"/>
    </row>
    <row r="185">
      <c r="A185" s="48"/>
      <c r="C185" s="1"/>
      <c r="D185" s="48"/>
      <c r="E185" s="48"/>
      <c r="F185" s="48"/>
    </row>
    <row r="186">
      <c r="A186" s="48"/>
      <c r="C186" s="1"/>
      <c r="D186" s="48"/>
      <c r="E186" s="48"/>
      <c r="F186" s="48"/>
    </row>
    <row r="187">
      <c r="A187" s="48"/>
      <c r="C187" s="1"/>
      <c r="D187" s="48"/>
      <c r="E187" s="48"/>
      <c r="F187" s="48"/>
    </row>
    <row r="188">
      <c r="A188" s="48"/>
      <c r="C188" s="1"/>
      <c r="D188" s="48"/>
      <c r="E188" s="48"/>
      <c r="F188" s="48"/>
    </row>
    <row r="189">
      <c r="A189" s="48"/>
      <c r="C189" s="1"/>
      <c r="D189" s="48"/>
      <c r="E189" s="48"/>
      <c r="F189" s="48"/>
    </row>
    <row r="190">
      <c r="A190" s="48"/>
      <c r="C190" s="1"/>
      <c r="D190" s="48"/>
      <c r="E190" s="48"/>
      <c r="F190" s="48"/>
    </row>
    <row r="191">
      <c r="A191" s="48"/>
      <c r="C191" s="1"/>
      <c r="D191" s="48"/>
      <c r="E191" s="48"/>
      <c r="F191" s="48"/>
    </row>
    <row r="192">
      <c r="A192" s="48"/>
      <c r="C192" s="1"/>
      <c r="D192" s="48"/>
      <c r="E192" s="48"/>
      <c r="F192" s="48"/>
    </row>
    <row r="193">
      <c r="A193" s="48"/>
      <c r="C193" s="1"/>
      <c r="D193" s="48"/>
      <c r="E193" s="48"/>
      <c r="F193" s="48"/>
    </row>
    <row r="194">
      <c r="A194" s="48"/>
      <c r="C194" s="1"/>
      <c r="D194" s="48"/>
      <c r="E194" s="48"/>
      <c r="F194" s="48"/>
    </row>
    <row r="195">
      <c r="A195" s="48"/>
      <c r="C195" s="1"/>
      <c r="D195" s="48"/>
      <c r="E195" s="48"/>
      <c r="F195" s="48"/>
    </row>
    <row r="196">
      <c r="A196" s="48"/>
      <c r="C196" s="1"/>
      <c r="D196" s="48"/>
      <c r="E196" s="48"/>
      <c r="F196" s="48"/>
    </row>
    <row r="197">
      <c r="A197" s="48"/>
      <c r="C197" s="1"/>
      <c r="D197" s="48"/>
      <c r="E197" s="48"/>
      <c r="F197" s="48"/>
    </row>
    <row r="198">
      <c r="A198" s="48"/>
      <c r="C198" s="1"/>
      <c r="D198" s="48"/>
      <c r="E198" s="48"/>
      <c r="F198" s="48"/>
    </row>
    <row r="199">
      <c r="A199" s="48"/>
      <c r="C199" s="1"/>
      <c r="D199" s="48"/>
      <c r="E199" s="48"/>
      <c r="F199" s="48"/>
    </row>
    <row r="200">
      <c r="A200" s="48"/>
      <c r="C200" s="1"/>
      <c r="D200" s="48"/>
      <c r="E200" s="48"/>
      <c r="F200" s="48"/>
    </row>
    <row r="201">
      <c r="A201" s="48"/>
      <c r="C201" s="1"/>
      <c r="D201" s="48"/>
      <c r="E201" s="48"/>
      <c r="F201" s="48"/>
    </row>
    <row r="202">
      <c r="A202" s="48"/>
      <c r="C202" s="1"/>
      <c r="D202" s="48"/>
      <c r="E202" s="48"/>
      <c r="F202" s="48"/>
    </row>
    <row r="203">
      <c r="A203" s="48"/>
      <c r="C203" s="1"/>
      <c r="D203" s="48"/>
      <c r="E203" s="48"/>
      <c r="F203" s="48"/>
    </row>
    <row r="204">
      <c r="A204" s="48"/>
      <c r="C204" s="1"/>
      <c r="D204" s="48"/>
      <c r="E204" s="48"/>
      <c r="F204" s="48"/>
    </row>
    <row r="205">
      <c r="A205" s="48"/>
      <c r="C205" s="1"/>
      <c r="D205" s="48"/>
      <c r="E205" s="48"/>
      <c r="F205" s="48"/>
    </row>
    <row r="206">
      <c r="A206" s="48"/>
      <c r="C206" s="1"/>
      <c r="D206" s="48"/>
      <c r="E206" s="48"/>
      <c r="F206" s="48"/>
    </row>
    <row r="207">
      <c r="A207" s="48"/>
      <c r="C207" s="1"/>
      <c r="D207" s="48"/>
      <c r="E207" s="48"/>
      <c r="F207" s="48"/>
    </row>
    <row r="208">
      <c r="A208" s="48"/>
      <c r="C208" s="1"/>
      <c r="D208" s="48"/>
      <c r="E208" s="48"/>
      <c r="F208" s="48"/>
    </row>
    <row r="209">
      <c r="A209" s="48"/>
      <c r="C209" s="1"/>
      <c r="D209" s="48"/>
      <c r="E209" s="48"/>
      <c r="F209" s="48"/>
    </row>
    <row r="210">
      <c r="A210" s="48"/>
      <c r="C210" s="1"/>
      <c r="D210" s="48"/>
      <c r="E210" s="48"/>
      <c r="F210" s="48"/>
    </row>
    <row r="211">
      <c r="A211" s="48"/>
      <c r="C211" s="1"/>
      <c r="D211" s="48"/>
      <c r="E211" s="48"/>
      <c r="F211" s="48"/>
    </row>
    <row r="212">
      <c r="A212" s="48"/>
      <c r="C212" s="1"/>
      <c r="D212" s="48"/>
      <c r="E212" s="48"/>
      <c r="F212" s="48"/>
    </row>
    <row r="213">
      <c r="A213" s="48"/>
      <c r="C213" s="1"/>
      <c r="D213" s="48"/>
      <c r="E213" s="48"/>
      <c r="F213" s="48"/>
    </row>
    <row r="214">
      <c r="A214" s="48"/>
      <c r="C214" s="1"/>
      <c r="D214" s="48"/>
      <c r="E214" s="48"/>
      <c r="F214" s="48"/>
    </row>
    <row r="215">
      <c r="A215" s="48"/>
      <c r="C215" s="1"/>
      <c r="D215" s="48"/>
      <c r="E215" s="48"/>
      <c r="F215" s="48"/>
    </row>
    <row r="216">
      <c r="A216" s="48"/>
      <c r="C216" s="1"/>
      <c r="D216" s="48"/>
      <c r="E216" s="48"/>
      <c r="F216" s="48"/>
    </row>
    <row r="217">
      <c r="A217" s="48"/>
      <c r="C217" s="1"/>
      <c r="D217" s="48"/>
      <c r="E217" s="48"/>
      <c r="F217" s="48"/>
    </row>
    <row r="218">
      <c r="A218" s="48"/>
      <c r="C218" s="1"/>
      <c r="D218" s="48"/>
      <c r="E218" s="48"/>
      <c r="F218" s="48"/>
    </row>
    <row r="219">
      <c r="A219" s="48"/>
      <c r="C219" s="1"/>
      <c r="D219" s="48"/>
      <c r="E219" s="48"/>
      <c r="F219" s="48"/>
    </row>
    <row r="220">
      <c r="A220" s="48"/>
      <c r="C220" s="1"/>
      <c r="D220" s="48"/>
      <c r="E220" s="48"/>
      <c r="F220" s="48"/>
    </row>
    <row r="221">
      <c r="A221" s="48"/>
      <c r="C221" s="1"/>
      <c r="D221" s="48"/>
      <c r="E221" s="48"/>
      <c r="F221" s="48"/>
    </row>
    <row r="222">
      <c r="A222" s="48"/>
      <c r="C222" s="1"/>
      <c r="D222" s="48"/>
      <c r="E222" s="48"/>
      <c r="F222" s="48"/>
    </row>
    <row r="223">
      <c r="A223" s="48"/>
      <c r="C223" s="1"/>
      <c r="D223" s="48"/>
      <c r="E223" s="48"/>
      <c r="F223" s="48"/>
    </row>
    <row r="224">
      <c r="A224" s="48"/>
      <c r="C224" s="1"/>
      <c r="D224" s="48"/>
      <c r="E224" s="48"/>
      <c r="F224" s="48"/>
    </row>
    <row r="225">
      <c r="A225" s="48"/>
      <c r="C225" s="1"/>
      <c r="D225" s="48"/>
      <c r="E225" s="48"/>
      <c r="F225" s="48"/>
    </row>
    <row r="226">
      <c r="A226" s="48"/>
      <c r="C226" s="1"/>
      <c r="D226" s="48"/>
      <c r="E226" s="48"/>
      <c r="F226" s="48"/>
    </row>
    <row r="227">
      <c r="A227" s="48"/>
      <c r="C227" s="1"/>
      <c r="D227" s="48"/>
      <c r="E227" s="48"/>
      <c r="F227" s="48"/>
    </row>
    <row r="228">
      <c r="A228" s="48"/>
      <c r="C228" s="1"/>
      <c r="D228" s="48"/>
      <c r="E228" s="48"/>
      <c r="F228" s="48"/>
    </row>
    <row r="229">
      <c r="A229" s="48"/>
      <c r="C229" s="1"/>
      <c r="D229" s="48"/>
      <c r="E229" s="48"/>
      <c r="F229" s="48"/>
    </row>
    <row r="230">
      <c r="A230" s="48"/>
      <c r="C230" s="1"/>
      <c r="D230" s="48"/>
      <c r="E230" s="48"/>
      <c r="F230" s="48"/>
    </row>
    <row r="231">
      <c r="A231" s="48"/>
      <c r="C231" s="1"/>
      <c r="D231" s="48"/>
      <c r="E231" s="48"/>
      <c r="F231" s="48"/>
    </row>
    <row r="232">
      <c r="A232" s="48"/>
      <c r="C232" s="1"/>
      <c r="D232" s="48"/>
      <c r="E232" s="48"/>
      <c r="F232" s="48"/>
    </row>
    <row r="233">
      <c r="A233" s="48"/>
      <c r="C233" s="1"/>
      <c r="D233" s="48"/>
      <c r="E233" s="48"/>
      <c r="F233" s="48"/>
    </row>
    <row r="234">
      <c r="A234" s="48"/>
      <c r="C234" s="1"/>
      <c r="D234" s="48"/>
      <c r="E234" s="48"/>
      <c r="F234" s="48"/>
    </row>
    <row r="235">
      <c r="A235" s="48"/>
      <c r="C235" s="1"/>
      <c r="D235" s="48"/>
      <c r="E235" s="48"/>
      <c r="F235" s="48"/>
    </row>
    <row r="236">
      <c r="A236" s="48"/>
      <c r="C236" s="1"/>
      <c r="D236" s="48"/>
      <c r="E236" s="48"/>
      <c r="F236" s="48"/>
    </row>
    <row r="237">
      <c r="A237" s="48"/>
      <c r="C237" s="1"/>
      <c r="D237" s="48"/>
      <c r="E237" s="48"/>
      <c r="F237" s="48"/>
    </row>
    <row r="238">
      <c r="A238" s="48"/>
      <c r="C238" s="1"/>
      <c r="D238" s="48"/>
      <c r="E238" s="48"/>
      <c r="F238" s="48"/>
    </row>
    <row r="239">
      <c r="A239" s="48"/>
      <c r="C239" s="1"/>
      <c r="D239" s="48"/>
      <c r="E239" s="48"/>
      <c r="F239" s="48"/>
    </row>
    <row r="240">
      <c r="A240" s="48"/>
      <c r="C240" s="1"/>
      <c r="D240" s="48"/>
      <c r="E240" s="48"/>
      <c r="F240" s="48"/>
    </row>
    <row r="241">
      <c r="A241" s="48"/>
      <c r="C241" s="1"/>
      <c r="D241" s="48"/>
      <c r="E241" s="48"/>
      <c r="F241" s="48"/>
    </row>
    <row r="242">
      <c r="A242" s="48"/>
      <c r="C242" s="1"/>
      <c r="D242" s="48"/>
      <c r="E242" s="48"/>
      <c r="F242" s="48"/>
    </row>
    <row r="243">
      <c r="A243" s="48"/>
      <c r="C243" s="1"/>
      <c r="D243" s="48"/>
      <c r="E243" s="48"/>
      <c r="F243" s="48"/>
    </row>
    <row r="244">
      <c r="A244" s="48"/>
      <c r="C244" s="1"/>
      <c r="D244" s="48"/>
      <c r="E244" s="48"/>
      <c r="F244" s="48"/>
    </row>
    <row r="245">
      <c r="A245" s="48"/>
      <c r="C245" s="1"/>
      <c r="D245" s="48"/>
      <c r="E245" s="48"/>
      <c r="F245" s="48"/>
    </row>
    <row r="246">
      <c r="A246" s="48"/>
      <c r="C246" s="1"/>
      <c r="D246" s="48"/>
      <c r="E246" s="48"/>
      <c r="F246" s="48"/>
    </row>
    <row r="247">
      <c r="A247" s="48"/>
      <c r="C247" s="1"/>
      <c r="D247" s="48"/>
      <c r="E247" s="48"/>
      <c r="F247" s="48"/>
    </row>
    <row r="248">
      <c r="A248" s="48"/>
      <c r="C248" s="1"/>
      <c r="D248" s="48"/>
      <c r="E248" s="48"/>
      <c r="F248" s="48"/>
    </row>
    <row r="249">
      <c r="A249" s="48"/>
      <c r="C249" s="1"/>
      <c r="D249" s="48"/>
      <c r="E249" s="48"/>
      <c r="F249" s="48"/>
    </row>
    <row r="250">
      <c r="A250" s="48"/>
      <c r="C250" s="1"/>
      <c r="D250" s="48"/>
      <c r="E250" s="48"/>
      <c r="F250" s="48"/>
    </row>
    <row r="251">
      <c r="A251" s="48"/>
      <c r="C251" s="1"/>
      <c r="D251" s="48"/>
      <c r="E251" s="48"/>
      <c r="F251" s="48"/>
    </row>
    <row r="252">
      <c r="A252" s="48"/>
      <c r="C252" s="1"/>
      <c r="D252" s="48"/>
      <c r="E252" s="48"/>
      <c r="F252" s="48"/>
    </row>
    <row r="253">
      <c r="A253" s="48"/>
      <c r="C253" s="1"/>
      <c r="D253" s="48"/>
      <c r="E253" s="48"/>
      <c r="F253" s="48"/>
    </row>
    <row r="254">
      <c r="A254" s="48"/>
      <c r="C254" s="1"/>
      <c r="D254" s="48"/>
      <c r="E254" s="48"/>
      <c r="F254" s="48"/>
    </row>
    <row r="255">
      <c r="A255" s="48"/>
      <c r="C255" s="1"/>
      <c r="D255" s="48"/>
      <c r="E255" s="48"/>
      <c r="F255" s="48"/>
    </row>
    <row r="256">
      <c r="A256" s="48"/>
      <c r="C256" s="1"/>
      <c r="D256" s="48"/>
      <c r="E256" s="48"/>
      <c r="F256" s="48"/>
    </row>
    <row r="257">
      <c r="A257" s="48"/>
      <c r="C257" s="1"/>
      <c r="D257" s="48"/>
      <c r="E257" s="48"/>
      <c r="F257" s="48"/>
    </row>
    <row r="258">
      <c r="A258" s="48"/>
      <c r="C258" s="1"/>
      <c r="D258" s="48"/>
      <c r="E258" s="48"/>
      <c r="F258" s="48"/>
    </row>
    <row r="259">
      <c r="A259" s="48"/>
      <c r="C259" s="1"/>
      <c r="D259" s="48"/>
      <c r="E259" s="48"/>
      <c r="F259" s="48"/>
    </row>
    <row r="260">
      <c r="A260" s="48"/>
      <c r="C260" s="1"/>
      <c r="D260" s="48"/>
      <c r="E260" s="48"/>
      <c r="F260" s="48"/>
    </row>
    <row r="261">
      <c r="A261" s="48"/>
      <c r="C261" s="1"/>
      <c r="D261" s="48"/>
      <c r="E261" s="48"/>
      <c r="F261" s="48"/>
    </row>
    <row r="262">
      <c r="A262" s="48"/>
      <c r="C262" s="1"/>
      <c r="D262" s="48"/>
      <c r="E262" s="48"/>
      <c r="F262" s="48"/>
    </row>
    <row r="263">
      <c r="A263" s="48"/>
      <c r="C263" s="1"/>
      <c r="D263" s="48"/>
      <c r="E263" s="48"/>
      <c r="F263" s="48"/>
    </row>
    <row r="264">
      <c r="A264" s="48"/>
      <c r="C264" s="1"/>
      <c r="D264" s="48"/>
      <c r="E264" s="48"/>
      <c r="F264" s="48"/>
    </row>
    <row r="265">
      <c r="A265" s="48"/>
      <c r="C265" s="1"/>
      <c r="D265" s="48"/>
      <c r="E265" s="48"/>
      <c r="F265" s="48"/>
    </row>
    <row r="266">
      <c r="A266" s="48"/>
      <c r="C266" s="1"/>
      <c r="D266" s="48"/>
      <c r="E266" s="48"/>
      <c r="F266" s="48"/>
    </row>
    <row r="267">
      <c r="A267" s="48"/>
      <c r="C267" s="1"/>
      <c r="D267" s="48"/>
      <c r="E267" s="48"/>
      <c r="F267" s="48"/>
    </row>
    <row r="268">
      <c r="A268" s="48"/>
      <c r="C268" s="1"/>
      <c r="D268" s="48"/>
      <c r="E268" s="48"/>
      <c r="F268" s="48"/>
    </row>
    <row r="269">
      <c r="A269" s="48"/>
      <c r="C269" s="1"/>
      <c r="D269" s="48"/>
      <c r="E269" s="48"/>
      <c r="F269" s="48"/>
    </row>
    <row r="270">
      <c r="A270" s="48"/>
      <c r="C270" s="1"/>
      <c r="D270" s="48"/>
      <c r="E270" s="48"/>
      <c r="F270" s="48"/>
    </row>
    <row r="271">
      <c r="A271" s="48"/>
      <c r="C271" s="1"/>
      <c r="D271" s="48"/>
      <c r="E271" s="48"/>
      <c r="F271" s="48"/>
    </row>
    <row r="272">
      <c r="A272" s="48"/>
      <c r="C272" s="1"/>
      <c r="D272" s="48"/>
      <c r="E272" s="48"/>
      <c r="F272" s="48"/>
    </row>
    <row r="273">
      <c r="A273" s="48"/>
      <c r="C273" s="1"/>
      <c r="D273" s="48"/>
      <c r="E273" s="48"/>
      <c r="F273" s="48"/>
    </row>
    <row r="274">
      <c r="A274" s="48"/>
      <c r="C274" s="1"/>
      <c r="D274" s="48"/>
      <c r="E274" s="48"/>
      <c r="F274" s="48"/>
    </row>
    <row r="275">
      <c r="A275" s="48"/>
      <c r="C275" s="1"/>
      <c r="D275" s="48"/>
      <c r="E275" s="48"/>
      <c r="F275" s="48"/>
    </row>
    <row r="276">
      <c r="A276" s="48"/>
      <c r="C276" s="1"/>
      <c r="D276" s="48"/>
      <c r="E276" s="48"/>
      <c r="F276" s="48"/>
    </row>
    <row r="277">
      <c r="A277" s="48"/>
      <c r="C277" s="1"/>
      <c r="D277" s="48"/>
      <c r="E277" s="48"/>
      <c r="F277" s="48"/>
    </row>
    <row r="278">
      <c r="A278" s="48"/>
      <c r="C278" s="1"/>
      <c r="D278" s="48"/>
      <c r="E278" s="48"/>
      <c r="F278" s="48"/>
    </row>
    <row r="279">
      <c r="A279" s="48"/>
      <c r="C279" s="1"/>
      <c r="D279" s="48"/>
      <c r="E279" s="48"/>
      <c r="F279" s="48"/>
    </row>
    <row r="280">
      <c r="A280" s="48"/>
      <c r="C280" s="1"/>
      <c r="D280" s="48"/>
      <c r="E280" s="48"/>
      <c r="F280" s="48"/>
    </row>
    <row r="281">
      <c r="A281" s="48"/>
      <c r="C281" s="1"/>
      <c r="D281" s="48"/>
      <c r="E281" s="48"/>
      <c r="F281" s="48"/>
    </row>
    <row r="282">
      <c r="A282" s="48"/>
      <c r="C282" s="1"/>
      <c r="D282" s="48"/>
      <c r="E282" s="48"/>
      <c r="F282" s="48"/>
    </row>
    <row r="283">
      <c r="A283" s="48"/>
      <c r="C283" s="1"/>
      <c r="D283" s="48"/>
      <c r="E283" s="48"/>
      <c r="F283" s="48"/>
    </row>
    <row r="284">
      <c r="A284" s="48"/>
      <c r="C284" s="1"/>
      <c r="D284" s="48"/>
      <c r="E284" s="48"/>
      <c r="F284" s="48"/>
    </row>
    <row r="285">
      <c r="A285" s="48"/>
      <c r="C285" s="1"/>
      <c r="D285" s="48"/>
      <c r="E285" s="48"/>
      <c r="F285" s="48"/>
    </row>
    <row r="286">
      <c r="A286" s="48"/>
      <c r="C286" s="1"/>
      <c r="D286" s="48"/>
      <c r="E286" s="48"/>
      <c r="F286" s="48"/>
    </row>
    <row r="287">
      <c r="A287" s="48"/>
      <c r="C287" s="1"/>
      <c r="D287" s="48"/>
      <c r="E287" s="48"/>
      <c r="F287" s="48"/>
    </row>
    <row r="288">
      <c r="A288" s="48"/>
      <c r="C288" s="1"/>
      <c r="D288" s="48"/>
      <c r="E288" s="48"/>
      <c r="F288" s="48"/>
    </row>
    <row r="289">
      <c r="A289" s="48"/>
      <c r="C289" s="1"/>
      <c r="D289" s="48"/>
      <c r="E289" s="48"/>
      <c r="F289" s="48"/>
    </row>
    <row r="290">
      <c r="A290" s="48"/>
      <c r="C290" s="1"/>
      <c r="D290" s="48"/>
      <c r="E290" s="48"/>
      <c r="F290" s="48"/>
    </row>
    <row r="291">
      <c r="A291" s="48"/>
      <c r="C291" s="1"/>
      <c r="D291" s="48"/>
      <c r="E291" s="48"/>
      <c r="F291" s="48"/>
    </row>
    <row r="292">
      <c r="A292" s="48"/>
      <c r="C292" s="1"/>
      <c r="D292" s="48"/>
      <c r="E292" s="48"/>
      <c r="F292" s="48"/>
    </row>
    <row r="293">
      <c r="A293" s="48"/>
      <c r="C293" s="1"/>
      <c r="D293" s="48"/>
      <c r="E293" s="48"/>
      <c r="F293" s="48"/>
    </row>
    <row r="294">
      <c r="A294" s="48"/>
      <c r="C294" s="1"/>
      <c r="D294" s="48"/>
      <c r="E294" s="48"/>
      <c r="F294" s="48"/>
    </row>
    <row r="295">
      <c r="A295" s="48"/>
      <c r="C295" s="1"/>
      <c r="D295" s="48"/>
      <c r="E295" s="48"/>
      <c r="F295" s="48"/>
    </row>
    <row r="296">
      <c r="A296" s="48"/>
      <c r="C296" s="1"/>
      <c r="D296" s="48"/>
      <c r="E296" s="48"/>
      <c r="F296" s="48"/>
    </row>
    <row r="297">
      <c r="A297" s="48"/>
      <c r="C297" s="1"/>
      <c r="D297" s="48"/>
      <c r="E297" s="48"/>
      <c r="F297" s="48"/>
    </row>
    <row r="298">
      <c r="A298" s="48"/>
      <c r="C298" s="1"/>
      <c r="D298" s="48"/>
      <c r="E298" s="48"/>
      <c r="F298" s="48"/>
    </row>
    <row r="299">
      <c r="A299" s="48"/>
      <c r="C299" s="1"/>
      <c r="D299" s="48"/>
      <c r="E299" s="48"/>
      <c r="F299" s="48"/>
    </row>
    <row r="300">
      <c r="A300" s="48"/>
      <c r="C300" s="1"/>
      <c r="D300" s="48"/>
      <c r="E300" s="48"/>
      <c r="F300" s="48"/>
    </row>
    <row r="301">
      <c r="A301" s="48"/>
      <c r="C301" s="1"/>
      <c r="D301" s="48"/>
      <c r="E301" s="48"/>
      <c r="F301" s="48"/>
    </row>
    <row r="302">
      <c r="A302" s="48"/>
      <c r="C302" s="1"/>
      <c r="D302" s="48"/>
      <c r="E302" s="48"/>
      <c r="F302" s="48"/>
    </row>
    <row r="303">
      <c r="A303" s="48"/>
      <c r="C303" s="1"/>
      <c r="D303" s="48"/>
      <c r="E303" s="48"/>
      <c r="F303" s="48"/>
    </row>
    <row r="304">
      <c r="A304" s="48"/>
      <c r="C304" s="1"/>
      <c r="D304" s="48"/>
      <c r="E304" s="48"/>
      <c r="F304" s="48"/>
    </row>
    <row r="305">
      <c r="A305" s="48"/>
      <c r="C305" s="1"/>
      <c r="D305" s="48"/>
      <c r="E305" s="48"/>
      <c r="F305" s="48"/>
    </row>
    <row r="306">
      <c r="A306" s="48"/>
      <c r="C306" s="1"/>
      <c r="D306" s="48"/>
      <c r="E306" s="48"/>
      <c r="F306" s="48"/>
    </row>
    <row r="307">
      <c r="A307" s="48"/>
      <c r="C307" s="1"/>
      <c r="D307" s="48"/>
      <c r="E307" s="48"/>
      <c r="F307" s="48"/>
    </row>
    <row r="308">
      <c r="A308" s="48"/>
      <c r="C308" s="1"/>
      <c r="D308" s="48"/>
      <c r="E308" s="48"/>
      <c r="F308" s="48"/>
    </row>
    <row r="309">
      <c r="A309" s="48"/>
      <c r="C309" s="1"/>
      <c r="D309" s="48"/>
      <c r="E309" s="48"/>
      <c r="F309" s="48"/>
    </row>
    <row r="310">
      <c r="A310" s="48"/>
      <c r="C310" s="1"/>
      <c r="D310" s="48"/>
      <c r="E310" s="48"/>
      <c r="F310" s="48"/>
    </row>
    <row r="311">
      <c r="A311" s="48"/>
      <c r="C311" s="1"/>
      <c r="D311" s="48"/>
      <c r="E311" s="48"/>
      <c r="F311" s="48"/>
    </row>
    <row r="312">
      <c r="A312" s="48"/>
      <c r="C312" s="1"/>
      <c r="D312" s="48"/>
      <c r="E312" s="48"/>
      <c r="F312" s="48"/>
    </row>
    <row r="313">
      <c r="A313" s="48"/>
      <c r="C313" s="1"/>
      <c r="D313" s="48"/>
      <c r="E313" s="48"/>
      <c r="F313" s="48"/>
    </row>
    <row r="314">
      <c r="A314" s="48"/>
      <c r="C314" s="1"/>
      <c r="D314" s="48"/>
      <c r="E314" s="48"/>
      <c r="F314" s="48"/>
    </row>
    <row r="315">
      <c r="A315" s="48"/>
      <c r="C315" s="1"/>
      <c r="D315" s="48"/>
      <c r="E315" s="48"/>
      <c r="F315" s="48"/>
    </row>
    <row r="316">
      <c r="A316" s="48"/>
      <c r="C316" s="1"/>
      <c r="D316" s="48"/>
      <c r="E316" s="48"/>
      <c r="F316" s="48"/>
    </row>
    <row r="317">
      <c r="A317" s="48"/>
      <c r="C317" s="1"/>
      <c r="D317" s="48"/>
      <c r="E317" s="48"/>
      <c r="F317" s="48"/>
    </row>
    <row r="318">
      <c r="A318" s="48"/>
      <c r="C318" s="1"/>
      <c r="D318" s="48"/>
      <c r="E318" s="48"/>
      <c r="F318" s="48"/>
    </row>
    <row r="319">
      <c r="A319" s="48"/>
      <c r="C319" s="1"/>
      <c r="D319" s="48"/>
      <c r="E319" s="48"/>
      <c r="F319" s="48"/>
    </row>
    <row r="320">
      <c r="A320" s="48"/>
      <c r="C320" s="1"/>
      <c r="D320" s="48"/>
      <c r="E320" s="48"/>
      <c r="F320" s="48"/>
    </row>
    <row r="321">
      <c r="A321" s="48"/>
      <c r="C321" s="1"/>
      <c r="D321" s="48"/>
      <c r="E321" s="48"/>
      <c r="F321" s="48"/>
    </row>
    <row r="322">
      <c r="A322" s="48"/>
      <c r="C322" s="1"/>
      <c r="D322" s="48"/>
      <c r="E322" s="48"/>
      <c r="F322" s="48"/>
    </row>
    <row r="323">
      <c r="A323" s="48"/>
      <c r="C323" s="1"/>
      <c r="D323" s="48"/>
      <c r="E323" s="48"/>
      <c r="F323" s="48"/>
    </row>
    <row r="324">
      <c r="A324" s="48"/>
      <c r="C324" s="1"/>
      <c r="D324" s="48"/>
      <c r="E324" s="48"/>
      <c r="F324" s="48"/>
    </row>
    <row r="325">
      <c r="A325" s="48"/>
      <c r="C325" s="1"/>
      <c r="D325" s="48"/>
      <c r="E325" s="48"/>
      <c r="F325" s="48"/>
    </row>
    <row r="326">
      <c r="A326" s="48"/>
      <c r="C326" s="1"/>
      <c r="D326" s="48"/>
      <c r="E326" s="48"/>
      <c r="F326" s="48"/>
    </row>
    <row r="327">
      <c r="A327" s="48"/>
      <c r="C327" s="1"/>
      <c r="D327" s="48"/>
      <c r="E327" s="48"/>
      <c r="F327" s="48"/>
    </row>
    <row r="328">
      <c r="A328" s="48"/>
      <c r="C328" s="1"/>
      <c r="D328" s="48"/>
      <c r="E328" s="48"/>
      <c r="F328" s="48"/>
    </row>
    <row r="329">
      <c r="A329" s="48"/>
      <c r="C329" s="1"/>
      <c r="D329" s="48"/>
      <c r="E329" s="48"/>
      <c r="F329" s="48"/>
    </row>
    <row r="330">
      <c r="A330" s="48"/>
      <c r="C330" s="1"/>
      <c r="D330" s="48"/>
      <c r="E330" s="48"/>
      <c r="F330" s="48"/>
    </row>
    <row r="331">
      <c r="A331" s="48"/>
      <c r="C331" s="1"/>
      <c r="D331" s="48"/>
      <c r="E331" s="48"/>
      <c r="F331" s="48"/>
    </row>
    <row r="332">
      <c r="A332" s="48"/>
      <c r="C332" s="1"/>
      <c r="D332" s="48"/>
      <c r="E332" s="48"/>
      <c r="F332" s="48"/>
    </row>
    <row r="333">
      <c r="A333" s="48"/>
      <c r="C333" s="1"/>
      <c r="D333" s="48"/>
      <c r="E333" s="48"/>
      <c r="F333" s="48"/>
    </row>
    <row r="334">
      <c r="A334" s="48"/>
      <c r="C334" s="1"/>
      <c r="D334" s="48"/>
      <c r="E334" s="48"/>
      <c r="F334" s="48"/>
    </row>
    <row r="335">
      <c r="A335" s="48"/>
      <c r="C335" s="1"/>
      <c r="D335" s="48"/>
      <c r="E335" s="48"/>
      <c r="F335" s="48"/>
    </row>
    <row r="336">
      <c r="A336" s="48"/>
      <c r="C336" s="1"/>
      <c r="D336" s="48"/>
      <c r="E336" s="48"/>
      <c r="F336" s="48"/>
    </row>
    <row r="337">
      <c r="A337" s="48"/>
      <c r="C337" s="1"/>
      <c r="D337" s="48"/>
      <c r="E337" s="48"/>
      <c r="F337" s="48"/>
    </row>
    <row r="338">
      <c r="A338" s="48"/>
      <c r="C338" s="1"/>
      <c r="D338" s="48"/>
      <c r="E338" s="48"/>
      <c r="F338" s="48"/>
    </row>
    <row r="339">
      <c r="A339" s="48"/>
      <c r="C339" s="1"/>
      <c r="D339" s="48"/>
      <c r="E339" s="48"/>
      <c r="F339" s="48"/>
    </row>
    <row r="340">
      <c r="A340" s="48"/>
      <c r="C340" s="1"/>
      <c r="D340" s="48"/>
      <c r="E340" s="48"/>
      <c r="F340" s="48"/>
    </row>
    <row r="341">
      <c r="A341" s="48"/>
      <c r="C341" s="1"/>
      <c r="D341" s="48"/>
      <c r="E341" s="48"/>
      <c r="F341" s="48"/>
    </row>
    <row r="342">
      <c r="A342" s="48"/>
      <c r="C342" s="1"/>
      <c r="D342" s="48"/>
      <c r="E342" s="48"/>
      <c r="F342" s="48"/>
    </row>
    <row r="343">
      <c r="A343" s="48"/>
      <c r="C343" s="1"/>
      <c r="D343" s="48"/>
      <c r="E343" s="48"/>
      <c r="F343" s="48"/>
    </row>
    <row r="344">
      <c r="A344" s="48"/>
      <c r="C344" s="1"/>
      <c r="D344" s="48"/>
      <c r="E344" s="48"/>
      <c r="F344" s="48"/>
    </row>
    <row r="345">
      <c r="A345" s="48"/>
      <c r="C345" s="1"/>
      <c r="D345" s="48"/>
      <c r="E345" s="48"/>
      <c r="F345" s="48"/>
    </row>
    <row r="346">
      <c r="A346" s="48"/>
      <c r="C346" s="1"/>
      <c r="D346" s="48"/>
      <c r="E346" s="48"/>
      <c r="F346" s="48"/>
    </row>
    <row r="347">
      <c r="A347" s="48"/>
      <c r="C347" s="1"/>
      <c r="D347" s="48"/>
      <c r="E347" s="48"/>
      <c r="F347" s="48"/>
    </row>
    <row r="348">
      <c r="A348" s="48"/>
      <c r="C348" s="1"/>
      <c r="D348" s="48"/>
      <c r="E348" s="48"/>
      <c r="F348" s="48"/>
    </row>
    <row r="349">
      <c r="A349" s="48"/>
      <c r="C349" s="1"/>
      <c r="D349" s="48"/>
      <c r="E349" s="48"/>
      <c r="F349" s="48"/>
    </row>
    <row r="350">
      <c r="A350" s="48"/>
      <c r="C350" s="1"/>
      <c r="D350" s="48"/>
      <c r="E350" s="48"/>
      <c r="F350" s="48"/>
    </row>
    <row r="351">
      <c r="A351" s="48"/>
      <c r="C351" s="1"/>
      <c r="D351" s="48"/>
      <c r="E351" s="48"/>
      <c r="F351" s="48"/>
    </row>
    <row r="352">
      <c r="A352" s="48"/>
      <c r="C352" s="1"/>
      <c r="D352" s="48"/>
      <c r="E352" s="48"/>
      <c r="F352" s="48"/>
    </row>
    <row r="353">
      <c r="A353" s="48"/>
      <c r="C353" s="1"/>
      <c r="D353" s="48"/>
      <c r="E353" s="48"/>
      <c r="F353" s="48"/>
    </row>
    <row r="354">
      <c r="A354" s="48"/>
      <c r="C354" s="1"/>
      <c r="D354" s="48"/>
      <c r="E354" s="48"/>
      <c r="F354" s="48"/>
    </row>
    <row r="355">
      <c r="A355" s="48"/>
      <c r="C355" s="1"/>
      <c r="D355" s="48"/>
      <c r="E355" s="48"/>
      <c r="F355" s="48"/>
    </row>
    <row r="356">
      <c r="A356" s="48"/>
      <c r="C356" s="1"/>
      <c r="D356" s="48"/>
      <c r="E356" s="48"/>
      <c r="F356" s="48"/>
    </row>
    <row r="357">
      <c r="A357" s="48"/>
      <c r="C357" s="1"/>
      <c r="D357" s="48"/>
      <c r="E357" s="48"/>
      <c r="F357" s="48"/>
    </row>
    <row r="358">
      <c r="A358" s="48"/>
      <c r="C358" s="1"/>
      <c r="D358" s="48"/>
      <c r="E358" s="48"/>
      <c r="F358" s="48"/>
    </row>
    <row r="359">
      <c r="A359" s="48"/>
      <c r="C359" s="1"/>
      <c r="D359" s="48"/>
      <c r="E359" s="48"/>
      <c r="F359" s="48"/>
    </row>
    <row r="360">
      <c r="A360" s="48"/>
      <c r="C360" s="1"/>
      <c r="D360" s="48"/>
      <c r="E360" s="48"/>
      <c r="F360" s="48"/>
    </row>
    <row r="361">
      <c r="A361" s="48"/>
      <c r="C361" s="1"/>
      <c r="D361" s="48"/>
      <c r="E361" s="48"/>
      <c r="F361" s="48"/>
    </row>
    <row r="362">
      <c r="A362" s="48"/>
      <c r="C362" s="1"/>
      <c r="D362" s="48"/>
      <c r="E362" s="48"/>
      <c r="F362" s="48"/>
    </row>
    <row r="363">
      <c r="A363" s="48"/>
      <c r="C363" s="1"/>
      <c r="D363" s="48"/>
      <c r="E363" s="48"/>
      <c r="F363" s="48"/>
    </row>
    <row r="364">
      <c r="A364" s="48"/>
      <c r="C364" s="1"/>
      <c r="D364" s="48"/>
      <c r="E364" s="48"/>
      <c r="F364" s="48"/>
    </row>
    <row r="365">
      <c r="A365" s="48"/>
      <c r="C365" s="1"/>
      <c r="D365" s="48"/>
      <c r="E365" s="48"/>
      <c r="F365" s="48"/>
    </row>
    <row r="366">
      <c r="A366" s="48"/>
      <c r="C366" s="1"/>
      <c r="D366" s="48"/>
      <c r="E366" s="48"/>
      <c r="F366" s="48"/>
    </row>
    <row r="367">
      <c r="A367" s="48"/>
      <c r="C367" s="1"/>
      <c r="D367" s="48"/>
      <c r="E367" s="48"/>
      <c r="F367" s="48"/>
    </row>
    <row r="368">
      <c r="A368" s="48"/>
      <c r="C368" s="1"/>
      <c r="D368" s="48"/>
      <c r="E368" s="48"/>
      <c r="F368" s="48"/>
    </row>
    <row r="369">
      <c r="A369" s="48"/>
      <c r="C369" s="1"/>
      <c r="D369" s="48"/>
      <c r="E369" s="48"/>
      <c r="F369" s="48"/>
    </row>
    <row r="370">
      <c r="A370" s="48"/>
      <c r="C370" s="1"/>
      <c r="D370" s="48"/>
      <c r="E370" s="48"/>
      <c r="F370" s="48"/>
    </row>
    <row r="371">
      <c r="A371" s="48"/>
      <c r="C371" s="1"/>
      <c r="D371" s="48"/>
      <c r="E371" s="48"/>
      <c r="F371" s="48"/>
    </row>
    <row r="372">
      <c r="A372" s="48"/>
      <c r="C372" s="1"/>
      <c r="D372" s="48"/>
      <c r="E372" s="48"/>
      <c r="F372" s="48"/>
    </row>
    <row r="373">
      <c r="A373" s="48"/>
      <c r="C373" s="1"/>
      <c r="D373" s="48"/>
      <c r="E373" s="48"/>
      <c r="F373" s="48"/>
    </row>
    <row r="374">
      <c r="A374" s="48"/>
      <c r="C374" s="1"/>
      <c r="D374" s="48"/>
      <c r="E374" s="48"/>
      <c r="F374" s="48"/>
    </row>
    <row r="375">
      <c r="A375" s="48"/>
      <c r="C375" s="1"/>
      <c r="D375" s="48"/>
      <c r="E375" s="48"/>
      <c r="F375" s="48"/>
    </row>
    <row r="376">
      <c r="A376" s="48"/>
      <c r="C376" s="1"/>
      <c r="D376" s="48"/>
      <c r="E376" s="48"/>
      <c r="F376" s="48"/>
    </row>
    <row r="377">
      <c r="A377" s="48"/>
      <c r="C377" s="1"/>
      <c r="D377" s="48"/>
      <c r="E377" s="48"/>
      <c r="F377" s="48"/>
    </row>
    <row r="378">
      <c r="A378" s="48"/>
      <c r="C378" s="1"/>
      <c r="D378" s="48"/>
      <c r="E378" s="48"/>
      <c r="F378" s="48"/>
    </row>
    <row r="379">
      <c r="A379" s="48"/>
      <c r="C379" s="1"/>
      <c r="D379" s="48"/>
      <c r="E379" s="48"/>
      <c r="F379" s="48"/>
    </row>
    <row r="380">
      <c r="A380" s="48"/>
      <c r="C380" s="1"/>
      <c r="D380" s="48"/>
      <c r="E380" s="48"/>
      <c r="F380" s="48"/>
    </row>
    <row r="381">
      <c r="A381" s="48"/>
      <c r="C381" s="1"/>
      <c r="D381" s="48"/>
      <c r="E381" s="48"/>
      <c r="F381" s="48"/>
    </row>
    <row r="382">
      <c r="A382" s="48"/>
      <c r="C382" s="1"/>
      <c r="D382" s="48"/>
      <c r="E382" s="48"/>
      <c r="F382" s="48"/>
    </row>
    <row r="383">
      <c r="A383" s="48"/>
      <c r="C383" s="1"/>
      <c r="D383" s="48"/>
      <c r="E383" s="48"/>
      <c r="F383" s="48"/>
    </row>
    <row r="384">
      <c r="A384" s="48"/>
      <c r="C384" s="1"/>
      <c r="D384" s="48"/>
      <c r="E384" s="48"/>
      <c r="F384" s="48"/>
    </row>
    <row r="385">
      <c r="A385" s="48"/>
      <c r="C385" s="1"/>
      <c r="D385" s="48"/>
      <c r="E385" s="48"/>
      <c r="F385" s="48"/>
    </row>
    <row r="386">
      <c r="A386" s="48"/>
      <c r="C386" s="1"/>
      <c r="D386" s="48"/>
      <c r="E386" s="48"/>
      <c r="F386" s="48"/>
    </row>
    <row r="387">
      <c r="A387" s="48"/>
      <c r="C387" s="1"/>
      <c r="D387" s="48"/>
      <c r="E387" s="48"/>
      <c r="F387" s="48"/>
    </row>
    <row r="388">
      <c r="A388" s="48"/>
      <c r="C388" s="1"/>
      <c r="D388" s="48"/>
      <c r="E388" s="48"/>
      <c r="F388" s="48"/>
    </row>
    <row r="389">
      <c r="A389" s="48"/>
      <c r="C389" s="1"/>
      <c r="D389" s="48"/>
      <c r="E389" s="48"/>
      <c r="F389" s="48"/>
    </row>
    <row r="390">
      <c r="A390" s="48"/>
      <c r="C390" s="1"/>
      <c r="D390" s="48"/>
      <c r="E390" s="48"/>
      <c r="F390" s="48"/>
    </row>
    <row r="391">
      <c r="A391" s="48"/>
      <c r="C391" s="1"/>
      <c r="D391" s="48"/>
      <c r="E391" s="48"/>
      <c r="F391" s="48"/>
    </row>
    <row r="392">
      <c r="A392" s="48"/>
      <c r="C392" s="1"/>
      <c r="D392" s="48"/>
      <c r="E392" s="48"/>
      <c r="F392" s="48"/>
    </row>
    <row r="393">
      <c r="A393" s="48"/>
      <c r="C393" s="1"/>
      <c r="D393" s="48"/>
      <c r="E393" s="48"/>
      <c r="F393" s="48"/>
    </row>
    <row r="394">
      <c r="A394" s="48"/>
      <c r="C394" s="1"/>
      <c r="D394" s="48"/>
      <c r="E394" s="48"/>
      <c r="F394" s="48"/>
    </row>
    <row r="395">
      <c r="A395" s="48"/>
      <c r="C395" s="1"/>
      <c r="D395" s="48"/>
      <c r="E395" s="48"/>
      <c r="F395" s="48"/>
    </row>
    <row r="396">
      <c r="A396" s="48"/>
      <c r="C396" s="1"/>
      <c r="D396" s="48"/>
      <c r="E396" s="48"/>
      <c r="F396" s="48"/>
    </row>
    <row r="397">
      <c r="A397" s="48"/>
      <c r="C397" s="1"/>
      <c r="D397" s="48"/>
      <c r="E397" s="48"/>
      <c r="F397" s="48"/>
    </row>
    <row r="398">
      <c r="A398" s="48"/>
      <c r="C398" s="1"/>
      <c r="D398" s="48"/>
      <c r="E398" s="48"/>
      <c r="F398" s="48"/>
    </row>
    <row r="399">
      <c r="A399" s="48"/>
      <c r="C399" s="1"/>
      <c r="D399" s="48"/>
      <c r="E399" s="48"/>
      <c r="F399" s="48"/>
    </row>
    <row r="400">
      <c r="A400" s="48"/>
      <c r="C400" s="1"/>
      <c r="D400" s="48"/>
      <c r="E400" s="48"/>
      <c r="F400" s="48"/>
    </row>
    <row r="401">
      <c r="A401" s="48"/>
      <c r="C401" s="1"/>
      <c r="D401" s="48"/>
      <c r="E401" s="48"/>
      <c r="F401" s="48"/>
    </row>
    <row r="402">
      <c r="A402" s="48"/>
      <c r="C402" s="1"/>
      <c r="D402" s="48"/>
      <c r="E402" s="48"/>
      <c r="F402" s="48"/>
    </row>
    <row r="403">
      <c r="A403" s="48"/>
      <c r="C403" s="1"/>
      <c r="D403" s="48"/>
      <c r="E403" s="48"/>
      <c r="F403" s="48"/>
    </row>
    <row r="404">
      <c r="A404" s="48"/>
      <c r="C404" s="1"/>
      <c r="D404" s="48"/>
      <c r="E404" s="48"/>
      <c r="F404" s="48"/>
    </row>
    <row r="405">
      <c r="A405" s="48"/>
      <c r="C405" s="1"/>
      <c r="D405" s="48"/>
      <c r="E405" s="48"/>
      <c r="F405" s="48"/>
    </row>
    <row r="406">
      <c r="A406" s="48"/>
      <c r="C406" s="1"/>
      <c r="D406" s="48"/>
      <c r="E406" s="48"/>
      <c r="F406" s="48"/>
    </row>
    <row r="407">
      <c r="A407" s="48"/>
      <c r="C407" s="1"/>
      <c r="D407" s="48"/>
      <c r="E407" s="48"/>
      <c r="F407" s="48"/>
    </row>
    <row r="408">
      <c r="A408" s="48"/>
      <c r="C408" s="1"/>
      <c r="D408" s="48"/>
      <c r="E408" s="48"/>
      <c r="F408" s="48"/>
    </row>
    <row r="409">
      <c r="A409" s="48"/>
      <c r="C409" s="1"/>
      <c r="D409" s="48"/>
      <c r="E409" s="48"/>
      <c r="F409" s="48"/>
    </row>
    <row r="410">
      <c r="A410" s="48"/>
      <c r="C410" s="1"/>
      <c r="D410" s="48"/>
      <c r="E410" s="48"/>
      <c r="F410" s="48"/>
    </row>
    <row r="411">
      <c r="A411" s="48"/>
      <c r="C411" s="1"/>
      <c r="D411" s="48"/>
      <c r="E411" s="48"/>
      <c r="F411" s="48"/>
    </row>
    <row r="412">
      <c r="A412" s="48"/>
      <c r="C412" s="1"/>
      <c r="D412" s="48"/>
      <c r="E412" s="48"/>
      <c r="F412" s="48"/>
    </row>
    <row r="413">
      <c r="A413" s="48"/>
      <c r="C413" s="1"/>
      <c r="D413" s="48"/>
      <c r="E413" s="48"/>
      <c r="F413" s="48"/>
    </row>
    <row r="414">
      <c r="A414" s="48"/>
      <c r="C414" s="1"/>
      <c r="D414" s="48"/>
      <c r="E414" s="48"/>
      <c r="F414" s="48"/>
    </row>
    <row r="415">
      <c r="A415" s="48"/>
      <c r="C415" s="1"/>
      <c r="D415" s="48"/>
      <c r="E415" s="48"/>
      <c r="F415" s="48"/>
    </row>
    <row r="416">
      <c r="A416" s="48"/>
      <c r="C416" s="1"/>
      <c r="D416" s="48"/>
      <c r="E416" s="48"/>
      <c r="F416" s="48"/>
    </row>
    <row r="417">
      <c r="A417" s="48"/>
      <c r="C417" s="1"/>
      <c r="D417" s="48"/>
      <c r="E417" s="48"/>
      <c r="F417" s="48"/>
    </row>
    <row r="418">
      <c r="A418" s="48"/>
      <c r="C418" s="1"/>
      <c r="D418" s="48"/>
      <c r="E418" s="48"/>
      <c r="F418" s="48"/>
    </row>
    <row r="419">
      <c r="A419" s="48"/>
      <c r="C419" s="1"/>
      <c r="D419" s="48"/>
      <c r="E419" s="48"/>
      <c r="F419" s="48"/>
    </row>
    <row r="420">
      <c r="A420" s="48"/>
      <c r="C420" s="1"/>
      <c r="D420" s="48"/>
      <c r="E420" s="48"/>
      <c r="F420" s="48"/>
    </row>
    <row r="421">
      <c r="A421" s="48"/>
      <c r="C421" s="1"/>
      <c r="D421" s="48"/>
      <c r="E421" s="48"/>
      <c r="F421" s="48"/>
    </row>
    <row r="422">
      <c r="A422" s="48"/>
      <c r="C422" s="1"/>
      <c r="D422" s="48"/>
      <c r="E422" s="48"/>
      <c r="F422" s="48"/>
    </row>
    <row r="423">
      <c r="A423" s="48"/>
      <c r="C423" s="1"/>
      <c r="D423" s="48"/>
      <c r="E423" s="48"/>
      <c r="F423" s="48"/>
    </row>
    <row r="424">
      <c r="A424" s="48"/>
      <c r="C424" s="1"/>
      <c r="D424" s="48"/>
      <c r="E424" s="48"/>
      <c r="F424" s="48"/>
    </row>
    <row r="425">
      <c r="A425" s="48"/>
      <c r="C425" s="1"/>
      <c r="D425" s="48"/>
      <c r="E425" s="48"/>
      <c r="F425" s="48"/>
    </row>
    <row r="426">
      <c r="A426" s="48"/>
      <c r="C426" s="1"/>
      <c r="D426" s="48"/>
      <c r="E426" s="48"/>
      <c r="F426" s="48"/>
    </row>
    <row r="427">
      <c r="A427" s="48"/>
      <c r="C427" s="1"/>
      <c r="D427" s="48"/>
      <c r="E427" s="48"/>
      <c r="F427" s="48"/>
    </row>
    <row r="428">
      <c r="A428" s="48"/>
      <c r="C428" s="1"/>
      <c r="D428" s="48"/>
      <c r="E428" s="48"/>
      <c r="F428" s="48"/>
    </row>
    <row r="429">
      <c r="A429" s="48"/>
      <c r="C429" s="1"/>
      <c r="D429" s="48"/>
      <c r="E429" s="48"/>
      <c r="F429" s="48"/>
    </row>
    <row r="430">
      <c r="A430" s="48"/>
      <c r="C430" s="1"/>
      <c r="D430" s="48"/>
      <c r="E430" s="48"/>
      <c r="F430" s="48"/>
    </row>
    <row r="431">
      <c r="A431" s="48"/>
      <c r="C431" s="1"/>
      <c r="D431" s="48"/>
      <c r="E431" s="48"/>
      <c r="F431" s="48"/>
    </row>
    <row r="432">
      <c r="A432" s="48"/>
      <c r="C432" s="1"/>
      <c r="D432" s="48"/>
      <c r="E432" s="48"/>
      <c r="F432" s="48"/>
    </row>
    <row r="433">
      <c r="A433" s="48"/>
      <c r="C433" s="1"/>
      <c r="D433" s="48"/>
      <c r="E433" s="48"/>
      <c r="F433" s="48"/>
    </row>
    <row r="434">
      <c r="A434" s="48"/>
      <c r="C434" s="1"/>
      <c r="D434" s="48"/>
      <c r="E434" s="48"/>
      <c r="F434" s="48"/>
    </row>
    <row r="435">
      <c r="A435" s="48"/>
      <c r="C435" s="1"/>
      <c r="D435" s="48"/>
      <c r="E435" s="48"/>
      <c r="F435" s="48"/>
    </row>
    <row r="436">
      <c r="A436" s="48"/>
      <c r="C436" s="1"/>
      <c r="D436" s="48"/>
      <c r="E436" s="48"/>
      <c r="F436" s="48"/>
    </row>
    <row r="437">
      <c r="A437" s="48"/>
      <c r="C437" s="1"/>
      <c r="D437" s="48"/>
      <c r="E437" s="48"/>
      <c r="F437" s="48"/>
    </row>
    <row r="438">
      <c r="A438" s="48"/>
      <c r="C438" s="1"/>
      <c r="D438" s="48"/>
      <c r="E438" s="48"/>
      <c r="F438" s="48"/>
    </row>
    <row r="439">
      <c r="A439" s="48"/>
      <c r="C439" s="1"/>
      <c r="D439" s="48"/>
      <c r="E439" s="48"/>
      <c r="F439" s="48"/>
    </row>
    <row r="440">
      <c r="A440" s="48"/>
      <c r="C440" s="1"/>
      <c r="D440" s="48"/>
      <c r="E440" s="48"/>
      <c r="F440" s="48"/>
    </row>
    <row r="441">
      <c r="A441" s="48"/>
      <c r="C441" s="1"/>
      <c r="D441" s="48"/>
      <c r="E441" s="48"/>
      <c r="F441" s="48"/>
    </row>
    <row r="442">
      <c r="A442" s="48"/>
      <c r="C442" s="1"/>
      <c r="D442" s="48"/>
      <c r="E442" s="48"/>
      <c r="F442" s="48"/>
    </row>
    <row r="443">
      <c r="A443" s="48"/>
      <c r="C443" s="1"/>
      <c r="D443" s="48"/>
      <c r="E443" s="48"/>
      <c r="F443" s="48"/>
    </row>
    <row r="444">
      <c r="A444" s="48"/>
      <c r="C444" s="1"/>
      <c r="D444" s="48"/>
      <c r="E444" s="48"/>
      <c r="F444" s="48"/>
    </row>
    <row r="445">
      <c r="A445" s="48"/>
      <c r="C445" s="1"/>
      <c r="D445" s="48"/>
      <c r="E445" s="48"/>
      <c r="F445" s="48"/>
    </row>
    <row r="446">
      <c r="A446" s="48"/>
      <c r="C446" s="1"/>
      <c r="D446" s="48"/>
      <c r="E446" s="48"/>
      <c r="F446" s="48"/>
    </row>
    <row r="447">
      <c r="A447" s="48"/>
      <c r="C447" s="1"/>
      <c r="D447" s="48"/>
      <c r="E447" s="48"/>
      <c r="F447" s="48"/>
    </row>
    <row r="448">
      <c r="A448" s="48"/>
      <c r="C448" s="1"/>
      <c r="D448" s="48"/>
      <c r="E448" s="48"/>
      <c r="F448" s="48"/>
    </row>
    <row r="449">
      <c r="A449" s="48"/>
      <c r="C449" s="1"/>
      <c r="D449" s="48"/>
      <c r="E449" s="48"/>
      <c r="F449" s="48"/>
    </row>
    <row r="450">
      <c r="A450" s="48"/>
      <c r="C450" s="1"/>
      <c r="D450" s="48"/>
      <c r="E450" s="48"/>
      <c r="F450" s="48"/>
    </row>
    <row r="451">
      <c r="A451" s="48"/>
      <c r="C451" s="1"/>
      <c r="D451" s="48"/>
      <c r="E451" s="48"/>
      <c r="F451" s="48"/>
    </row>
    <row r="452">
      <c r="A452" s="48"/>
      <c r="C452" s="1"/>
      <c r="D452" s="48"/>
      <c r="E452" s="48"/>
      <c r="F452" s="48"/>
    </row>
    <row r="453">
      <c r="A453" s="48"/>
      <c r="C453" s="1"/>
      <c r="D453" s="48"/>
      <c r="E453" s="48"/>
      <c r="F453" s="48"/>
    </row>
    <row r="454">
      <c r="A454" s="48"/>
      <c r="C454" s="1"/>
      <c r="D454" s="48"/>
      <c r="E454" s="48"/>
      <c r="F454" s="48"/>
    </row>
    <row r="455">
      <c r="A455" s="48"/>
      <c r="C455" s="1"/>
      <c r="D455" s="48"/>
      <c r="E455" s="48"/>
      <c r="F455" s="48"/>
    </row>
    <row r="456">
      <c r="A456" s="48"/>
      <c r="C456" s="1"/>
      <c r="D456" s="48"/>
      <c r="E456" s="48"/>
      <c r="F456" s="48"/>
    </row>
    <row r="457">
      <c r="A457" s="48"/>
      <c r="C457" s="1"/>
      <c r="D457" s="48"/>
      <c r="E457" s="48"/>
      <c r="F457" s="48"/>
    </row>
    <row r="458">
      <c r="A458" s="48"/>
      <c r="C458" s="1"/>
      <c r="D458" s="48"/>
      <c r="E458" s="48"/>
      <c r="F458" s="48"/>
    </row>
    <row r="459">
      <c r="A459" s="48"/>
      <c r="C459" s="1"/>
      <c r="D459" s="48"/>
      <c r="E459" s="48"/>
      <c r="F459" s="48"/>
    </row>
    <row r="460">
      <c r="A460" s="48"/>
      <c r="C460" s="1"/>
      <c r="D460" s="48"/>
      <c r="E460" s="48"/>
      <c r="F460" s="48"/>
    </row>
    <row r="461">
      <c r="A461" s="48"/>
      <c r="C461" s="1"/>
      <c r="D461" s="48"/>
      <c r="E461" s="48"/>
      <c r="F461" s="48"/>
    </row>
    <row r="462">
      <c r="A462" s="48"/>
      <c r="C462" s="1"/>
      <c r="D462" s="48"/>
      <c r="E462" s="48"/>
      <c r="F462" s="48"/>
    </row>
    <row r="463">
      <c r="A463" s="48"/>
      <c r="C463" s="1"/>
      <c r="D463" s="48"/>
      <c r="E463" s="48"/>
      <c r="F463" s="48"/>
    </row>
    <row r="464">
      <c r="A464" s="48"/>
      <c r="C464" s="1"/>
      <c r="D464" s="48"/>
      <c r="E464" s="48"/>
      <c r="F464" s="48"/>
    </row>
    <row r="465">
      <c r="A465" s="48"/>
      <c r="C465" s="1"/>
      <c r="D465" s="48"/>
      <c r="E465" s="48"/>
      <c r="F465" s="48"/>
    </row>
    <row r="466">
      <c r="A466" s="48"/>
      <c r="C466" s="1"/>
      <c r="D466" s="48"/>
      <c r="E466" s="48"/>
      <c r="F466" s="48"/>
    </row>
    <row r="467">
      <c r="A467" s="48"/>
      <c r="C467" s="1"/>
      <c r="D467" s="48"/>
      <c r="E467" s="48"/>
      <c r="F467" s="48"/>
    </row>
    <row r="468">
      <c r="A468" s="48"/>
      <c r="C468" s="1"/>
      <c r="D468" s="48"/>
      <c r="E468" s="48"/>
      <c r="F468" s="48"/>
    </row>
    <row r="469">
      <c r="A469" s="48"/>
      <c r="C469" s="1"/>
      <c r="D469" s="48"/>
      <c r="E469" s="48"/>
      <c r="F469" s="48"/>
    </row>
    <row r="470">
      <c r="A470" s="48"/>
      <c r="C470" s="1"/>
      <c r="D470" s="48"/>
      <c r="E470" s="48"/>
      <c r="F470" s="48"/>
    </row>
    <row r="471">
      <c r="A471" s="48"/>
      <c r="C471" s="1"/>
      <c r="D471" s="48"/>
      <c r="E471" s="48"/>
      <c r="F471" s="48"/>
    </row>
    <row r="472">
      <c r="A472" s="48"/>
      <c r="C472" s="1"/>
      <c r="D472" s="48"/>
      <c r="E472" s="48"/>
      <c r="F472" s="48"/>
    </row>
    <row r="473">
      <c r="A473" s="48"/>
      <c r="C473" s="1"/>
      <c r="D473" s="48"/>
      <c r="E473" s="48"/>
      <c r="F473" s="48"/>
    </row>
    <row r="474">
      <c r="A474" s="48"/>
      <c r="C474" s="1"/>
      <c r="D474" s="48"/>
      <c r="E474" s="48"/>
      <c r="F474" s="48"/>
    </row>
    <row r="475">
      <c r="A475" s="48"/>
      <c r="C475" s="1"/>
      <c r="D475" s="48"/>
      <c r="E475" s="48"/>
      <c r="F475" s="48"/>
    </row>
    <row r="476">
      <c r="A476" s="48"/>
      <c r="C476" s="1"/>
      <c r="D476" s="48"/>
      <c r="E476" s="48"/>
      <c r="F476" s="48"/>
    </row>
    <row r="477">
      <c r="A477" s="48"/>
      <c r="C477" s="1"/>
      <c r="D477" s="48"/>
      <c r="E477" s="48"/>
      <c r="F477" s="48"/>
    </row>
    <row r="478">
      <c r="A478" s="48"/>
      <c r="C478" s="1"/>
      <c r="D478" s="48"/>
      <c r="E478" s="48"/>
      <c r="F478" s="48"/>
    </row>
    <row r="479">
      <c r="A479" s="48"/>
      <c r="C479" s="1"/>
      <c r="D479" s="48"/>
      <c r="E479" s="48"/>
      <c r="F479" s="48"/>
    </row>
    <row r="480">
      <c r="A480" s="48"/>
      <c r="C480" s="1"/>
      <c r="D480" s="48"/>
      <c r="E480" s="48"/>
      <c r="F480" s="48"/>
    </row>
    <row r="481">
      <c r="A481" s="48"/>
      <c r="C481" s="1"/>
      <c r="D481" s="48"/>
      <c r="E481" s="48"/>
      <c r="F481" s="48"/>
    </row>
    <row r="482">
      <c r="A482" s="48"/>
      <c r="C482" s="1"/>
      <c r="D482" s="48"/>
      <c r="E482" s="48"/>
      <c r="F482" s="48"/>
    </row>
    <row r="483">
      <c r="A483" s="48"/>
      <c r="C483" s="1"/>
      <c r="D483" s="48"/>
      <c r="E483" s="48"/>
      <c r="F483" s="48"/>
    </row>
    <row r="484">
      <c r="A484" s="48"/>
      <c r="C484" s="1"/>
      <c r="D484" s="48"/>
      <c r="E484" s="48"/>
      <c r="F484" s="48"/>
    </row>
    <row r="485">
      <c r="A485" s="48"/>
      <c r="C485" s="1"/>
      <c r="D485" s="48"/>
      <c r="E485" s="48"/>
      <c r="F485" s="48"/>
    </row>
    <row r="486">
      <c r="A486" s="48"/>
      <c r="C486" s="1"/>
      <c r="D486" s="48"/>
      <c r="E486" s="48"/>
      <c r="F486" s="48"/>
    </row>
    <row r="487">
      <c r="A487" s="48"/>
      <c r="C487" s="1"/>
      <c r="D487" s="48"/>
      <c r="E487" s="48"/>
      <c r="F487" s="48"/>
    </row>
    <row r="488">
      <c r="A488" s="48"/>
      <c r="C488" s="1"/>
      <c r="D488" s="48"/>
      <c r="E488" s="48"/>
      <c r="F488" s="48"/>
    </row>
    <row r="489">
      <c r="A489" s="48"/>
      <c r="C489" s="1"/>
      <c r="D489" s="48"/>
      <c r="E489" s="48"/>
      <c r="F489" s="48"/>
    </row>
    <row r="490">
      <c r="A490" s="48"/>
      <c r="C490" s="1"/>
      <c r="D490" s="48"/>
      <c r="E490" s="48"/>
      <c r="F490" s="48"/>
    </row>
    <row r="491">
      <c r="A491" s="48"/>
      <c r="C491" s="1"/>
      <c r="D491" s="48"/>
      <c r="E491" s="48"/>
      <c r="F491" s="48"/>
    </row>
    <row r="492">
      <c r="A492" s="48"/>
      <c r="C492" s="1"/>
      <c r="D492" s="48"/>
      <c r="E492" s="48"/>
      <c r="F492" s="48"/>
    </row>
    <row r="493">
      <c r="A493" s="48"/>
      <c r="C493" s="1"/>
      <c r="D493" s="48"/>
      <c r="E493" s="48"/>
      <c r="F493" s="48"/>
    </row>
    <row r="494">
      <c r="A494" s="48"/>
      <c r="C494" s="1"/>
      <c r="D494" s="48"/>
      <c r="E494" s="48"/>
      <c r="F494" s="48"/>
    </row>
    <row r="495">
      <c r="A495" s="48"/>
      <c r="C495" s="1"/>
      <c r="D495" s="48"/>
      <c r="E495" s="48"/>
      <c r="F495" s="48"/>
    </row>
    <row r="496">
      <c r="A496" s="48"/>
      <c r="C496" s="1"/>
      <c r="D496" s="48"/>
      <c r="E496" s="48"/>
      <c r="F496" s="48"/>
    </row>
    <row r="497">
      <c r="A497" s="48"/>
      <c r="C497" s="1"/>
      <c r="D497" s="48"/>
      <c r="E497" s="48"/>
      <c r="F497" s="48"/>
    </row>
    <row r="498">
      <c r="A498" s="48"/>
      <c r="C498" s="1"/>
      <c r="D498" s="48"/>
      <c r="E498" s="48"/>
      <c r="F498" s="48"/>
    </row>
    <row r="499">
      <c r="A499" s="48"/>
      <c r="C499" s="1"/>
      <c r="D499" s="48"/>
      <c r="E499" s="48"/>
      <c r="F499" s="48"/>
    </row>
    <row r="500">
      <c r="A500" s="48"/>
      <c r="C500" s="1"/>
      <c r="D500" s="48"/>
      <c r="E500" s="48"/>
      <c r="F500" s="48"/>
    </row>
    <row r="501">
      <c r="A501" s="48"/>
      <c r="C501" s="1"/>
      <c r="D501" s="48"/>
      <c r="E501" s="48"/>
      <c r="F501" s="48"/>
    </row>
    <row r="502">
      <c r="A502" s="48"/>
      <c r="C502" s="1"/>
      <c r="D502" s="48"/>
      <c r="E502" s="48"/>
      <c r="F502" s="48"/>
    </row>
    <row r="503">
      <c r="A503" s="48"/>
      <c r="C503" s="1"/>
      <c r="D503" s="48"/>
      <c r="E503" s="48"/>
      <c r="F503" s="48"/>
    </row>
    <row r="504">
      <c r="A504" s="48"/>
      <c r="C504" s="1"/>
      <c r="D504" s="48"/>
      <c r="E504" s="48"/>
      <c r="F504" s="48"/>
    </row>
    <row r="505">
      <c r="A505" s="48"/>
      <c r="C505" s="1"/>
      <c r="D505" s="48"/>
      <c r="E505" s="48"/>
      <c r="F505" s="48"/>
    </row>
    <row r="506">
      <c r="A506" s="48"/>
      <c r="C506" s="1"/>
      <c r="D506" s="48"/>
      <c r="E506" s="48"/>
      <c r="F506" s="48"/>
    </row>
    <row r="507">
      <c r="A507" s="48"/>
      <c r="C507" s="1"/>
      <c r="D507" s="48"/>
      <c r="E507" s="48"/>
      <c r="F507" s="48"/>
    </row>
    <row r="508">
      <c r="A508" s="48"/>
      <c r="C508" s="1"/>
      <c r="D508" s="48"/>
      <c r="E508" s="48"/>
      <c r="F508" s="48"/>
    </row>
    <row r="509">
      <c r="A509" s="48"/>
      <c r="C509" s="1"/>
      <c r="D509" s="48"/>
      <c r="E509" s="48"/>
      <c r="F509" s="48"/>
    </row>
    <row r="510">
      <c r="A510" s="48"/>
      <c r="C510" s="1"/>
      <c r="D510" s="48"/>
      <c r="E510" s="48"/>
      <c r="F510" s="48"/>
    </row>
    <row r="511">
      <c r="A511" s="48"/>
      <c r="C511" s="1"/>
      <c r="D511" s="48"/>
      <c r="E511" s="48"/>
      <c r="F511" s="48"/>
    </row>
    <row r="512">
      <c r="A512" s="48"/>
      <c r="C512" s="1"/>
      <c r="D512" s="48"/>
      <c r="E512" s="48"/>
      <c r="F512" s="48"/>
    </row>
    <row r="513">
      <c r="A513" s="48"/>
      <c r="C513" s="1"/>
      <c r="D513" s="48"/>
      <c r="E513" s="48"/>
      <c r="F513" s="48"/>
    </row>
    <row r="514">
      <c r="A514" s="48"/>
      <c r="C514" s="1"/>
      <c r="D514" s="48"/>
      <c r="E514" s="48"/>
      <c r="F514" s="48"/>
    </row>
    <row r="515">
      <c r="A515" s="48"/>
      <c r="C515" s="1"/>
      <c r="D515" s="48"/>
      <c r="E515" s="48"/>
      <c r="F515" s="48"/>
    </row>
    <row r="516">
      <c r="A516" s="48"/>
      <c r="C516" s="1"/>
      <c r="D516" s="48"/>
      <c r="E516" s="48"/>
      <c r="F516" s="48"/>
    </row>
    <row r="517">
      <c r="A517" s="48"/>
      <c r="C517" s="1"/>
      <c r="D517" s="48"/>
      <c r="E517" s="48"/>
      <c r="F517" s="48"/>
    </row>
    <row r="518">
      <c r="A518" s="48"/>
      <c r="C518" s="1"/>
      <c r="D518" s="48"/>
      <c r="E518" s="48"/>
      <c r="F518" s="48"/>
    </row>
    <row r="519">
      <c r="A519" s="48"/>
      <c r="C519" s="1"/>
      <c r="D519" s="48"/>
      <c r="E519" s="48"/>
      <c r="F519" s="48"/>
    </row>
    <row r="520">
      <c r="A520" s="48"/>
      <c r="C520" s="1"/>
      <c r="D520" s="48"/>
      <c r="E520" s="48"/>
      <c r="F520" s="48"/>
    </row>
    <row r="521">
      <c r="A521" s="48"/>
      <c r="C521" s="1"/>
      <c r="D521" s="48"/>
      <c r="E521" s="48"/>
      <c r="F521" s="48"/>
    </row>
    <row r="522">
      <c r="A522" s="48"/>
      <c r="C522" s="1"/>
      <c r="D522" s="48"/>
      <c r="E522" s="48"/>
      <c r="F522" s="48"/>
    </row>
    <row r="523">
      <c r="A523" s="48"/>
      <c r="C523" s="1"/>
      <c r="D523" s="48"/>
      <c r="E523" s="48"/>
      <c r="F523" s="48"/>
    </row>
    <row r="524">
      <c r="A524" s="48"/>
      <c r="C524" s="1"/>
      <c r="D524" s="48"/>
      <c r="E524" s="48"/>
      <c r="F524" s="48"/>
    </row>
    <row r="525">
      <c r="A525" s="48"/>
      <c r="C525" s="1"/>
      <c r="D525" s="48"/>
      <c r="E525" s="48"/>
      <c r="F525" s="48"/>
    </row>
    <row r="526">
      <c r="A526" s="48"/>
      <c r="C526" s="1"/>
      <c r="D526" s="48"/>
      <c r="E526" s="48"/>
      <c r="F526" s="48"/>
    </row>
    <row r="527">
      <c r="A527" s="48"/>
      <c r="C527" s="1"/>
      <c r="D527" s="48"/>
      <c r="E527" s="48"/>
      <c r="F527" s="48"/>
    </row>
    <row r="528">
      <c r="A528" s="48"/>
      <c r="C528" s="1"/>
      <c r="D528" s="48"/>
      <c r="E528" s="48"/>
      <c r="F528" s="48"/>
    </row>
    <row r="529">
      <c r="A529" s="48"/>
      <c r="C529" s="1"/>
      <c r="D529" s="48"/>
      <c r="E529" s="48"/>
      <c r="F529" s="48"/>
    </row>
    <row r="530">
      <c r="A530" s="48"/>
      <c r="C530" s="1"/>
      <c r="D530" s="48"/>
      <c r="E530" s="48"/>
      <c r="F530" s="48"/>
    </row>
    <row r="531">
      <c r="A531" s="48"/>
      <c r="C531" s="1"/>
      <c r="D531" s="48"/>
      <c r="E531" s="48"/>
      <c r="F531" s="48"/>
    </row>
    <row r="532">
      <c r="A532" s="48"/>
      <c r="C532" s="1"/>
      <c r="D532" s="48"/>
      <c r="E532" s="48"/>
      <c r="F532" s="48"/>
    </row>
    <row r="533">
      <c r="A533" s="48"/>
      <c r="C533" s="1"/>
      <c r="D533" s="48"/>
      <c r="E533" s="48"/>
      <c r="F533" s="48"/>
    </row>
    <row r="534">
      <c r="A534" s="48"/>
      <c r="C534" s="1"/>
      <c r="D534" s="48"/>
      <c r="E534" s="48"/>
      <c r="F534" s="48"/>
    </row>
    <row r="535">
      <c r="A535" s="48"/>
      <c r="C535" s="1"/>
      <c r="D535" s="48"/>
      <c r="E535" s="48"/>
      <c r="F535" s="48"/>
    </row>
    <row r="536">
      <c r="A536" s="48"/>
      <c r="C536" s="1"/>
      <c r="D536" s="48"/>
      <c r="E536" s="48"/>
      <c r="F536" s="48"/>
    </row>
    <row r="537">
      <c r="A537" s="48"/>
      <c r="C537" s="1"/>
      <c r="D537" s="48"/>
      <c r="E537" s="48"/>
      <c r="F537" s="48"/>
    </row>
    <row r="538">
      <c r="A538" s="48"/>
      <c r="C538" s="1"/>
      <c r="D538" s="48"/>
      <c r="E538" s="48"/>
      <c r="F538" s="48"/>
    </row>
    <row r="539">
      <c r="A539" s="48"/>
      <c r="C539" s="1"/>
      <c r="D539" s="48"/>
      <c r="E539" s="48"/>
      <c r="F539" s="48"/>
    </row>
    <row r="540">
      <c r="A540" s="48"/>
      <c r="C540" s="1"/>
      <c r="D540" s="48"/>
      <c r="E540" s="48"/>
      <c r="F540" s="48"/>
    </row>
    <row r="541">
      <c r="A541" s="48"/>
      <c r="C541" s="1"/>
      <c r="D541" s="48"/>
      <c r="E541" s="48"/>
      <c r="F541" s="48"/>
    </row>
    <row r="542">
      <c r="A542" s="48"/>
      <c r="C542" s="1"/>
      <c r="D542" s="48"/>
      <c r="E542" s="48"/>
      <c r="F542" s="48"/>
    </row>
    <row r="543">
      <c r="A543" s="48"/>
      <c r="C543" s="1"/>
      <c r="D543" s="48"/>
      <c r="E543" s="48"/>
      <c r="F543" s="48"/>
    </row>
    <row r="544">
      <c r="A544" s="48"/>
      <c r="C544" s="1"/>
      <c r="D544" s="48"/>
      <c r="E544" s="48"/>
      <c r="F544" s="48"/>
    </row>
    <row r="545">
      <c r="A545" s="48"/>
      <c r="C545" s="1"/>
      <c r="D545" s="48"/>
      <c r="E545" s="48"/>
      <c r="F545" s="48"/>
    </row>
    <row r="546">
      <c r="A546" s="48"/>
      <c r="C546" s="1"/>
      <c r="D546" s="48"/>
      <c r="E546" s="48"/>
      <c r="F546" s="48"/>
    </row>
    <row r="547">
      <c r="A547" s="48"/>
      <c r="C547" s="1"/>
      <c r="D547" s="48"/>
      <c r="E547" s="48"/>
      <c r="F547" s="48"/>
    </row>
    <row r="548">
      <c r="A548" s="48"/>
      <c r="C548" s="1"/>
      <c r="D548" s="48"/>
      <c r="E548" s="48"/>
      <c r="F548" s="48"/>
    </row>
    <row r="549">
      <c r="A549" s="48"/>
      <c r="C549" s="1"/>
      <c r="D549" s="48"/>
      <c r="E549" s="48"/>
      <c r="F549" s="48"/>
    </row>
    <row r="550">
      <c r="A550" s="48"/>
      <c r="C550" s="1"/>
      <c r="D550" s="48"/>
      <c r="E550" s="48"/>
      <c r="F550" s="48"/>
    </row>
    <row r="551">
      <c r="A551" s="48"/>
      <c r="C551" s="1"/>
      <c r="D551" s="48"/>
      <c r="E551" s="48"/>
      <c r="F551" s="48"/>
    </row>
    <row r="552">
      <c r="A552" s="48"/>
      <c r="C552" s="1"/>
      <c r="D552" s="48"/>
      <c r="E552" s="48"/>
      <c r="F552" s="48"/>
    </row>
    <row r="553">
      <c r="A553" s="48"/>
      <c r="C553" s="1"/>
      <c r="D553" s="48"/>
      <c r="E553" s="48"/>
      <c r="F553" s="48"/>
    </row>
    <row r="554">
      <c r="A554" s="48"/>
      <c r="C554" s="1"/>
      <c r="D554" s="48"/>
      <c r="E554" s="48"/>
      <c r="F554" s="48"/>
    </row>
    <row r="555">
      <c r="A555" s="48"/>
      <c r="C555" s="1"/>
      <c r="D555" s="48"/>
      <c r="E555" s="48"/>
      <c r="F555" s="48"/>
    </row>
    <row r="556">
      <c r="A556" s="48"/>
      <c r="C556" s="1"/>
      <c r="D556" s="48"/>
      <c r="E556" s="48"/>
      <c r="F556" s="48"/>
    </row>
    <row r="557">
      <c r="A557" s="48"/>
      <c r="C557" s="1"/>
      <c r="D557" s="48"/>
      <c r="E557" s="48"/>
      <c r="F557" s="48"/>
    </row>
    <row r="558">
      <c r="A558" s="48"/>
      <c r="C558" s="1"/>
      <c r="D558" s="48"/>
      <c r="E558" s="48"/>
      <c r="F558" s="48"/>
    </row>
    <row r="559">
      <c r="A559" s="48"/>
      <c r="C559" s="1"/>
      <c r="D559" s="48"/>
      <c r="E559" s="48"/>
      <c r="F559" s="48"/>
    </row>
    <row r="560">
      <c r="A560" s="48"/>
      <c r="C560" s="1"/>
      <c r="D560" s="48"/>
      <c r="E560" s="48"/>
      <c r="F560" s="48"/>
    </row>
    <row r="561">
      <c r="A561" s="48"/>
      <c r="C561" s="1"/>
      <c r="D561" s="48"/>
      <c r="E561" s="48"/>
      <c r="F561" s="48"/>
    </row>
    <row r="562">
      <c r="A562" s="48"/>
      <c r="C562" s="1"/>
      <c r="D562" s="48"/>
      <c r="E562" s="48"/>
      <c r="F562" s="48"/>
    </row>
    <row r="563">
      <c r="A563" s="48"/>
      <c r="C563" s="1"/>
      <c r="D563" s="48"/>
      <c r="E563" s="48"/>
      <c r="F563" s="48"/>
    </row>
    <row r="564">
      <c r="A564" s="48"/>
      <c r="C564" s="1"/>
      <c r="D564" s="48"/>
      <c r="E564" s="48"/>
      <c r="F564" s="48"/>
    </row>
    <row r="565">
      <c r="A565" s="48"/>
      <c r="C565" s="1"/>
      <c r="D565" s="48"/>
      <c r="E565" s="48"/>
      <c r="F565" s="48"/>
    </row>
    <row r="566">
      <c r="A566" s="48"/>
      <c r="C566" s="1"/>
      <c r="D566" s="48"/>
      <c r="E566" s="48"/>
      <c r="F566" s="48"/>
    </row>
    <row r="567">
      <c r="A567" s="48"/>
      <c r="C567" s="1"/>
      <c r="D567" s="48"/>
      <c r="E567" s="48"/>
      <c r="F567" s="48"/>
    </row>
    <row r="568">
      <c r="A568" s="48"/>
      <c r="C568" s="1"/>
      <c r="D568" s="48"/>
      <c r="E568" s="48"/>
      <c r="F568" s="48"/>
    </row>
    <row r="569">
      <c r="A569" s="48"/>
      <c r="C569" s="1"/>
      <c r="D569" s="48"/>
      <c r="E569" s="48"/>
      <c r="F569" s="48"/>
    </row>
    <row r="570">
      <c r="A570" s="48"/>
      <c r="C570" s="1"/>
      <c r="D570" s="48"/>
      <c r="E570" s="48"/>
      <c r="F570" s="48"/>
    </row>
    <row r="571">
      <c r="A571" s="48"/>
      <c r="C571" s="1"/>
      <c r="D571" s="48"/>
      <c r="E571" s="48"/>
      <c r="F571" s="48"/>
    </row>
    <row r="572">
      <c r="A572" s="48"/>
      <c r="C572" s="1"/>
      <c r="D572" s="48"/>
      <c r="E572" s="48"/>
      <c r="F572" s="48"/>
    </row>
    <row r="573">
      <c r="A573" s="48"/>
      <c r="C573" s="1"/>
      <c r="D573" s="48"/>
      <c r="E573" s="48"/>
      <c r="F573" s="48"/>
    </row>
    <row r="574">
      <c r="A574" s="48"/>
      <c r="C574" s="1"/>
      <c r="D574" s="48"/>
      <c r="E574" s="48"/>
      <c r="F574" s="48"/>
    </row>
    <row r="575">
      <c r="A575" s="48"/>
      <c r="C575" s="1"/>
      <c r="D575" s="48"/>
      <c r="E575" s="48"/>
      <c r="F575" s="48"/>
    </row>
    <row r="576">
      <c r="A576" s="48"/>
      <c r="C576" s="1"/>
      <c r="D576" s="48"/>
      <c r="E576" s="48"/>
      <c r="F576" s="48"/>
    </row>
    <row r="577">
      <c r="A577" s="48"/>
      <c r="C577" s="1"/>
      <c r="D577" s="48"/>
      <c r="E577" s="48"/>
      <c r="F577" s="48"/>
    </row>
    <row r="578">
      <c r="A578" s="48"/>
      <c r="C578" s="1"/>
      <c r="D578" s="48"/>
      <c r="E578" s="48"/>
      <c r="F578" s="48"/>
    </row>
    <row r="579">
      <c r="A579" s="48"/>
      <c r="C579" s="1"/>
      <c r="D579" s="48"/>
      <c r="E579" s="48"/>
      <c r="F579" s="48"/>
    </row>
    <row r="580">
      <c r="A580" s="48"/>
      <c r="C580" s="1"/>
      <c r="D580" s="48"/>
      <c r="E580" s="48"/>
      <c r="F580" s="48"/>
    </row>
    <row r="581">
      <c r="A581" s="48"/>
      <c r="C581" s="1"/>
      <c r="D581" s="48"/>
      <c r="E581" s="48"/>
      <c r="F581" s="48"/>
    </row>
    <row r="582">
      <c r="A582" s="48"/>
      <c r="C582" s="1"/>
      <c r="D582" s="48"/>
      <c r="E582" s="48"/>
      <c r="F582" s="48"/>
    </row>
    <row r="583">
      <c r="A583" s="48"/>
      <c r="C583" s="1"/>
      <c r="D583" s="48"/>
      <c r="E583" s="48"/>
      <c r="F583" s="48"/>
    </row>
    <row r="584">
      <c r="A584" s="48"/>
      <c r="C584" s="1"/>
      <c r="D584" s="48"/>
      <c r="E584" s="48"/>
      <c r="F584" s="48"/>
    </row>
    <row r="585">
      <c r="A585" s="48"/>
      <c r="C585" s="1"/>
      <c r="D585" s="48"/>
      <c r="E585" s="48"/>
      <c r="F585" s="48"/>
    </row>
    <row r="586">
      <c r="A586" s="48"/>
      <c r="C586" s="1"/>
      <c r="D586" s="48"/>
      <c r="E586" s="48"/>
      <c r="F586" s="48"/>
    </row>
    <row r="587">
      <c r="A587" s="48"/>
      <c r="C587" s="1"/>
      <c r="D587" s="48"/>
      <c r="E587" s="48"/>
      <c r="F587" s="48"/>
    </row>
    <row r="588">
      <c r="A588" s="48"/>
      <c r="C588" s="1"/>
      <c r="D588" s="48"/>
      <c r="E588" s="48"/>
      <c r="F588" s="48"/>
    </row>
    <row r="589">
      <c r="A589" s="48"/>
      <c r="C589" s="1"/>
      <c r="D589" s="48"/>
      <c r="E589" s="48"/>
      <c r="F589" s="48"/>
    </row>
    <row r="590">
      <c r="A590" s="48"/>
      <c r="C590" s="1"/>
      <c r="D590" s="48"/>
      <c r="E590" s="48"/>
      <c r="F590" s="48"/>
    </row>
    <row r="591">
      <c r="A591" s="48"/>
      <c r="C591" s="1"/>
      <c r="D591" s="48"/>
      <c r="E591" s="48"/>
      <c r="F591" s="48"/>
    </row>
    <row r="592">
      <c r="A592" s="48"/>
      <c r="C592" s="1"/>
      <c r="D592" s="48"/>
      <c r="E592" s="48"/>
      <c r="F592" s="48"/>
    </row>
    <row r="593">
      <c r="A593" s="48"/>
      <c r="C593" s="1"/>
      <c r="D593" s="48"/>
      <c r="E593" s="48"/>
      <c r="F593" s="48"/>
    </row>
    <row r="594">
      <c r="A594" s="48"/>
      <c r="C594" s="1"/>
      <c r="D594" s="48"/>
      <c r="E594" s="48"/>
      <c r="F594" s="48"/>
    </row>
    <row r="595">
      <c r="A595" s="48"/>
      <c r="C595" s="1"/>
      <c r="D595" s="48"/>
      <c r="E595" s="48"/>
      <c r="F595" s="48"/>
    </row>
    <row r="596">
      <c r="A596" s="48"/>
      <c r="C596" s="1"/>
      <c r="D596" s="48"/>
      <c r="E596" s="48"/>
      <c r="F596" s="48"/>
    </row>
    <row r="597">
      <c r="A597" s="48"/>
      <c r="C597" s="1"/>
      <c r="D597" s="48"/>
      <c r="E597" s="48"/>
      <c r="F597" s="48"/>
    </row>
    <row r="598">
      <c r="A598" s="48"/>
      <c r="C598" s="1"/>
      <c r="D598" s="48"/>
      <c r="E598" s="48"/>
      <c r="F598" s="48"/>
    </row>
    <row r="599">
      <c r="A599" s="48"/>
      <c r="C599" s="1"/>
      <c r="D599" s="48"/>
      <c r="E599" s="48"/>
      <c r="F599" s="48"/>
    </row>
    <row r="600">
      <c r="A600" s="48"/>
      <c r="C600" s="1"/>
      <c r="D600" s="48"/>
      <c r="E600" s="48"/>
      <c r="F600" s="48"/>
    </row>
    <row r="601">
      <c r="A601" s="48"/>
      <c r="C601" s="1"/>
      <c r="D601" s="48"/>
      <c r="E601" s="48"/>
      <c r="F601" s="48"/>
    </row>
    <row r="602">
      <c r="A602" s="48"/>
      <c r="C602" s="1"/>
      <c r="D602" s="48"/>
      <c r="E602" s="48"/>
      <c r="F602" s="48"/>
    </row>
    <row r="603">
      <c r="A603" s="48"/>
      <c r="C603" s="1"/>
      <c r="D603" s="48"/>
      <c r="E603" s="48"/>
      <c r="F603" s="48"/>
    </row>
    <row r="604">
      <c r="A604" s="48"/>
      <c r="C604" s="1"/>
      <c r="D604" s="48"/>
      <c r="E604" s="48"/>
      <c r="F604" s="48"/>
    </row>
    <row r="605">
      <c r="A605" s="48"/>
      <c r="C605" s="1"/>
      <c r="D605" s="48"/>
      <c r="E605" s="48"/>
      <c r="F605" s="48"/>
    </row>
    <row r="606">
      <c r="A606" s="48"/>
      <c r="C606" s="1"/>
      <c r="D606" s="48"/>
      <c r="E606" s="48"/>
      <c r="F606" s="48"/>
    </row>
    <row r="607">
      <c r="A607" s="48"/>
      <c r="C607" s="1"/>
      <c r="D607" s="48"/>
      <c r="E607" s="48"/>
      <c r="F607" s="48"/>
    </row>
    <row r="608">
      <c r="A608" s="48"/>
      <c r="C608" s="1"/>
      <c r="D608" s="48"/>
      <c r="E608" s="48"/>
      <c r="F608" s="48"/>
    </row>
    <row r="609">
      <c r="A609" s="48"/>
      <c r="C609" s="1"/>
      <c r="D609" s="48"/>
      <c r="E609" s="48"/>
      <c r="F609" s="48"/>
    </row>
    <row r="610">
      <c r="A610" s="48"/>
      <c r="C610" s="1"/>
      <c r="D610" s="48"/>
      <c r="E610" s="48"/>
      <c r="F610" s="48"/>
    </row>
    <row r="611">
      <c r="A611" s="48"/>
      <c r="C611" s="1"/>
      <c r="D611" s="48"/>
      <c r="E611" s="48"/>
      <c r="F611" s="48"/>
    </row>
    <row r="612">
      <c r="A612" s="48"/>
      <c r="C612" s="1"/>
      <c r="D612" s="48"/>
      <c r="E612" s="48"/>
      <c r="F612" s="48"/>
    </row>
    <row r="613">
      <c r="A613" s="48"/>
      <c r="C613" s="1"/>
      <c r="D613" s="48"/>
      <c r="E613" s="48"/>
      <c r="F613" s="48"/>
    </row>
    <row r="614">
      <c r="A614" s="48"/>
      <c r="C614" s="1"/>
      <c r="D614" s="48"/>
      <c r="E614" s="48"/>
      <c r="F614" s="48"/>
    </row>
    <row r="615">
      <c r="A615" s="48"/>
      <c r="C615" s="1"/>
      <c r="D615" s="48"/>
      <c r="E615" s="48"/>
      <c r="F615" s="48"/>
    </row>
    <row r="616">
      <c r="A616" s="48"/>
      <c r="C616" s="1"/>
      <c r="D616" s="48"/>
      <c r="E616" s="48"/>
      <c r="F616" s="48"/>
    </row>
    <row r="617">
      <c r="A617" s="48"/>
      <c r="C617" s="1"/>
      <c r="D617" s="48"/>
      <c r="E617" s="48"/>
      <c r="F617" s="48"/>
    </row>
    <row r="618">
      <c r="A618" s="48"/>
      <c r="C618" s="1"/>
      <c r="D618" s="48"/>
      <c r="E618" s="48"/>
      <c r="F618" s="48"/>
    </row>
    <row r="619">
      <c r="A619" s="48"/>
      <c r="C619" s="1"/>
      <c r="D619" s="48"/>
      <c r="E619" s="48"/>
      <c r="F619" s="48"/>
    </row>
    <row r="620">
      <c r="A620" s="48"/>
      <c r="C620" s="1"/>
      <c r="D620" s="48"/>
      <c r="E620" s="48"/>
      <c r="F620" s="48"/>
    </row>
    <row r="621">
      <c r="A621" s="48"/>
      <c r="C621" s="1"/>
      <c r="D621" s="48"/>
      <c r="E621" s="48"/>
      <c r="F621" s="48"/>
    </row>
    <row r="622">
      <c r="A622" s="48"/>
      <c r="C622" s="1"/>
      <c r="D622" s="48"/>
      <c r="E622" s="48"/>
      <c r="F622" s="48"/>
    </row>
    <row r="623">
      <c r="A623" s="48"/>
      <c r="C623" s="1"/>
      <c r="D623" s="48"/>
      <c r="E623" s="48"/>
      <c r="F623" s="48"/>
    </row>
    <row r="624">
      <c r="A624" s="48"/>
      <c r="C624" s="1"/>
      <c r="D624" s="48"/>
      <c r="E624" s="48"/>
      <c r="F624" s="48"/>
    </row>
    <row r="625">
      <c r="A625" s="48"/>
      <c r="C625" s="1"/>
      <c r="D625" s="48"/>
      <c r="E625" s="48"/>
      <c r="F625" s="48"/>
    </row>
    <row r="626">
      <c r="A626" s="48"/>
      <c r="C626" s="1"/>
      <c r="D626" s="48"/>
      <c r="E626" s="48"/>
      <c r="F626" s="48"/>
    </row>
    <row r="627">
      <c r="A627" s="48"/>
      <c r="C627" s="1"/>
      <c r="D627" s="48"/>
      <c r="E627" s="48"/>
      <c r="F627" s="48"/>
    </row>
    <row r="628">
      <c r="A628" s="48"/>
      <c r="C628" s="1"/>
      <c r="D628" s="48"/>
      <c r="E628" s="48"/>
      <c r="F628" s="48"/>
    </row>
    <row r="629">
      <c r="A629" s="48"/>
      <c r="C629" s="1"/>
      <c r="D629" s="48"/>
      <c r="E629" s="48"/>
      <c r="F629" s="48"/>
    </row>
    <row r="630">
      <c r="A630" s="48"/>
      <c r="C630" s="1"/>
      <c r="D630" s="48"/>
      <c r="E630" s="48"/>
      <c r="F630" s="48"/>
    </row>
    <row r="631">
      <c r="A631" s="48"/>
      <c r="C631" s="1"/>
      <c r="D631" s="48"/>
      <c r="E631" s="48"/>
      <c r="F631" s="48"/>
    </row>
    <row r="632">
      <c r="A632" s="48"/>
      <c r="C632" s="1"/>
      <c r="D632" s="48"/>
      <c r="E632" s="48"/>
      <c r="F632" s="48"/>
    </row>
    <row r="633">
      <c r="A633" s="48"/>
      <c r="C633" s="1"/>
      <c r="D633" s="48"/>
      <c r="E633" s="48"/>
      <c r="F633" s="48"/>
    </row>
    <row r="634">
      <c r="A634" s="48"/>
      <c r="C634" s="1"/>
      <c r="D634" s="48"/>
      <c r="E634" s="48"/>
      <c r="F634" s="48"/>
    </row>
    <row r="635">
      <c r="A635" s="48"/>
      <c r="C635" s="1"/>
      <c r="D635" s="48"/>
      <c r="E635" s="48"/>
      <c r="F635" s="48"/>
    </row>
    <row r="636">
      <c r="A636" s="48"/>
      <c r="C636" s="1"/>
      <c r="D636" s="48"/>
      <c r="E636" s="48"/>
      <c r="F636" s="48"/>
    </row>
    <row r="637">
      <c r="A637" s="48"/>
      <c r="C637" s="1"/>
      <c r="D637" s="48"/>
      <c r="E637" s="48"/>
      <c r="F637" s="48"/>
    </row>
    <row r="638">
      <c r="A638" s="48"/>
      <c r="C638" s="1"/>
      <c r="D638" s="48"/>
      <c r="E638" s="48"/>
      <c r="F638" s="48"/>
    </row>
    <row r="639">
      <c r="A639" s="48"/>
      <c r="C639" s="1"/>
      <c r="D639" s="48"/>
      <c r="E639" s="48"/>
      <c r="F639" s="48"/>
    </row>
    <row r="640">
      <c r="A640" s="48"/>
      <c r="C640" s="1"/>
      <c r="D640" s="48"/>
      <c r="E640" s="48"/>
      <c r="F640" s="48"/>
    </row>
    <row r="641">
      <c r="A641" s="48"/>
      <c r="C641" s="1"/>
      <c r="D641" s="48"/>
      <c r="E641" s="48"/>
      <c r="F641" s="48"/>
    </row>
    <row r="642">
      <c r="A642" s="48"/>
      <c r="C642" s="1"/>
      <c r="D642" s="48"/>
      <c r="E642" s="48"/>
      <c r="F642" s="48"/>
    </row>
    <row r="643">
      <c r="A643" s="48"/>
      <c r="C643" s="1"/>
      <c r="D643" s="48"/>
      <c r="E643" s="48"/>
      <c r="F643" s="48"/>
    </row>
    <row r="644">
      <c r="A644" s="48"/>
      <c r="C644" s="1"/>
      <c r="D644" s="48"/>
      <c r="E644" s="48"/>
      <c r="F644" s="48"/>
    </row>
    <row r="645">
      <c r="A645" s="48"/>
      <c r="C645" s="1"/>
      <c r="D645" s="48"/>
      <c r="E645" s="48"/>
      <c r="F645" s="48"/>
    </row>
    <row r="646">
      <c r="A646" s="48"/>
      <c r="C646" s="1"/>
      <c r="D646" s="48"/>
      <c r="E646" s="48"/>
      <c r="F646" s="48"/>
    </row>
    <row r="647">
      <c r="A647" s="48"/>
      <c r="C647" s="1"/>
      <c r="D647" s="48"/>
      <c r="E647" s="48"/>
      <c r="F647" s="48"/>
    </row>
    <row r="648">
      <c r="A648" s="48"/>
      <c r="C648" s="1"/>
      <c r="D648" s="48"/>
      <c r="E648" s="48"/>
      <c r="F648" s="48"/>
    </row>
    <row r="649">
      <c r="A649" s="48"/>
      <c r="C649" s="1"/>
      <c r="D649" s="48"/>
      <c r="E649" s="48"/>
      <c r="F649" s="48"/>
    </row>
    <row r="650">
      <c r="A650" s="48"/>
      <c r="C650" s="1"/>
      <c r="D650" s="48"/>
      <c r="E650" s="48"/>
      <c r="F650" s="48"/>
    </row>
    <row r="651">
      <c r="A651" s="48"/>
      <c r="C651" s="1"/>
      <c r="D651" s="48"/>
      <c r="E651" s="48"/>
      <c r="F651" s="48"/>
    </row>
    <row r="652">
      <c r="A652" s="48"/>
      <c r="C652" s="1"/>
      <c r="D652" s="48"/>
      <c r="E652" s="48"/>
      <c r="F652" s="48"/>
    </row>
    <row r="653">
      <c r="A653" s="48"/>
      <c r="C653" s="1"/>
      <c r="D653" s="48"/>
      <c r="E653" s="48"/>
      <c r="F653" s="48"/>
    </row>
    <row r="654">
      <c r="A654" s="48"/>
      <c r="C654" s="1"/>
      <c r="D654" s="48"/>
      <c r="E654" s="48"/>
      <c r="F654" s="48"/>
    </row>
    <row r="655">
      <c r="A655" s="48"/>
      <c r="C655" s="1"/>
      <c r="D655" s="48"/>
      <c r="E655" s="48"/>
      <c r="F655" s="48"/>
    </row>
    <row r="656">
      <c r="A656" s="48"/>
      <c r="C656" s="1"/>
      <c r="D656" s="48"/>
      <c r="E656" s="48"/>
      <c r="F656" s="48"/>
    </row>
    <row r="657">
      <c r="A657" s="48"/>
      <c r="C657" s="1"/>
      <c r="D657" s="48"/>
      <c r="E657" s="48"/>
      <c r="F657" s="48"/>
    </row>
    <row r="658">
      <c r="A658" s="48"/>
      <c r="C658" s="1"/>
      <c r="D658" s="48"/>
      <c r="E658" s="48"/>
      <c r="F658" s="48"/>
    </row>
    <row r="659">
      <c r="A659" s="48"/>
      <c r="C659" s="1"/>
      <c r="D659" s="48"/>
      <c r="E659" s="48"/>
      <c r="F659" s="48"/>
    </row>
    <row r="660">
      <c r="A660" s="48"/>
      <c r="C660" s="1"/>
      <c r="D660" s="48"/>
      <c r="E660" s="48"/>
      <c r="F660" s="48"/>
    </row>
    <row r="661">
      <c r="A661" s="48"/>
      <c r="C661" s="1"/>
      <c r="D661" s="48"/>
      <c r="E661" s="48"/>
      <c r="F661" s="48"/>
    </row>
    <row r="662">
      <c r="A662" s="48"/>
      <c r="C662" s="1"/>
      <c r="D662" s="48"/>
      <c r="E662" s="48"/>
      <c r="F662" s="48"/>
    </row>
    <row r="663">
      <c r="A663" s="48"/>
      <c r="C663" s="1"/>
      <c r="D663" s="48"/>
      <c r="E663" s="48"/>
      <c r="F663" s="48"/>
    </row>
    <row r="664">
      <c r="A664" s="48"/>
      <c r="C664" s="1"/>
      <c r="D664" s="48"/>
      <c r="E664" s="48"/>
      <c r="F664" s="48"/>
    </row>
    <row r="665">
      <c r="A665" s="48"/>
      <c r="C665" s="1"/>
      <c r="D665" s="48"/>
      <c r="E665" s="48"/>
      <c r="F665" s="48"/>
    </row>
    <row r="666">
      <c r="A666" s="48"/>
      <c r="C666" s="1"/>
      <c r="D666" s="48"/>
      <c r="E666" s="48"/>
      <c r="F666" s="48"/>
    </row>
    <row r="667">
      <c r="A667" s="48"/>
      <c r="C667" s="1"/>
      <c r="D667" s="48"/>
      <c r="E667" s="48"/>
      <c r="F667" s="48"/>
    </row>
    <row r="668">
      <c r="A668" s="48"/>
      <c r="C668" s="1"/>
      <c r="D668" s="48"/>
      <c r="E668" s="48"/>
      <c r="F668" s="48"/>
    </row>
    <row r="669">
      <c r="A669" s="48"/>
      <c r="C669" s="1"/>
      <c r="D669" s="48"/>
      <c r="E669" s="48"/>
      <c r="F669" s="48"/>
    </row>
    <row r="670">
      <c r="A670" s="48"/>
      <c r="C670" s="1"/>
      <c r="D670" s="48"/>
      <c r="E670" s="48"/>
      <c r="F670" s="48"/>
    </row>
    <row r="671">
      <c r="A671" s="48"/>
      <c r="C671" s="1"/>
      <c r="D671" s="48"/>
      <c r="E671" s="48"/>
      <c r="F671" s="48"/>
    </row>
    <row r="672">
      <c r="A672" s="48"/>
      <c r="C672" s="1"/>
      <c r="D672" s="48"/>
      <c r="E672" s="48"/>
      <c r="F672" s="48"/>
    </row>
    <row r="673">
      <c r="A673" s="48"/>
      <c r="C673" s="1"/>
      <c r="D673" s="48"/>
      <c r="E673" s="48"/>
      <c r="F673" s="48"/>
    </row>
    <row r="674">
      <c r="A674" s="48"/>
      <c r="C674" s="1"/>
      <c r="D674" s="48"/>
      <c r="E674" s="48"/>
      <c r="F674" s="48"/>
    </row>
    <row r="675">
      <c r="A675" s="48"/>
      <c r="C675" s="1"/>
      <c r="D675" s="48"/>
      <c r="E675" s="48"/>
      <c r="F675" s="48"/>
    </row>
    <row r="676">
      <c r="A676" s="48"/>
      <c r="C676" s="1"/>
      <c r="D676" s="48"/>
      <c r="E676" s="48"/>
      <c r="F676" s="48"/>
    </row>
    <row r="677">
      <c r="A677" s="48"/>
      <c r="C677" s="1"/>
      <c r="D677" s="48"/>
      <c r="E677" s="48"/>
      <c r="F677" s="48"/>
    </row>
    <row r="678">
      <c r="A678" s="48"/>
      <c r="C678" s="1"/>
      <c r="D678" s="48"/>
      <c r="E678" s="48"/>
      <c r="F678" s="48"/>
    </row>
    <row r="679">
      <c r="A679" s="48"/>
      <c r="C679" s="1"/>
      <c r="D679" s="48"/>
      <c r="E679" s="48"/>
      <c r="F679" s="48"/>
    </row>
    <row r="680">
      <c r="A680" s="48"/>
      <c r="C680" s="1"/>
      <c r="D680" s="48"/>
      <c r="E680" s="48"/>
      <c r="F680" s="48"/>
    </row>
    <row r="681">
      <c r="A681" s="48"/>
      <c r="C681" s="1"/>
      <c r="D681" s="48"/>
      <c r="E681" s="48"/>
      <c r="F681" s="48"/>
    </row>
    <row r="682">
      <c r="A682" s="48"/>
      <c r="C682" s="1"/>
      <c r="D682" s="48"/>
      <c r="E682" s="48"/>
      <c r="F682" s="48"/>
    </row>
    <row r="683">
      <c r="A683" s="48"/>
      <c r="C683" s="1"/>
      <c r="D683" s="48"/>
      <c r="E683" s="48"/>
      <c r="F683" s="48"/>
    </row>
    <row r="684">
      <c r="A684" s="48"/>
      <c r="C684" s="1"/>
      <c r="D684" s="48"/>
      <c r="E684" s="48"/>
      <c r="F684" s="48"/>
    </row>
    <row r="685">
      <c r="A685" s="48"/>
      <c r="C685" s="1"/>
      <c r="D685" s="48"/>
      <c r="E685" s="48"/>
      <c r="F685" s="48"/>
    </row>
    <row r="686">
      <c r="A686" s="48"/>
      <c r="C686" s="1"/>
      <c r="D686" s="48"/>
      <c r="E686" s="48"/>
      <c r="F686" s="48"/>
    </row>
    <row r="687">
      <c r="A687" s="48"/>
      <c r="C687" s="1"/>
      <c r="D687" s="48"/>
      <c r="E687" s="48"/>
      <c r="F687" s="48"/>
    </row>
    <row r="688">
      <c r="A688" s="48"/>
      <c r="C688" s="1"/>
      <c r="D688" s="48"/>
      <c r="E688" s="48"/>
      <c r="F688" s="48"/>
    </row>
    <row r="689">
      <c r="A689" s="48"/>
      <c r="C689" s="1"/>
      <c r="D689" s="48"/>
      <c r="E689" s="48"/>
      <c r="F689" s="48"/>
    </row>
    <row r="690">
      <c r="A690" s="48"/>
      <c r="C690" s="1"/>
      <c r="D690" s="48"/>
      <c r="E690" s="48"/>
      <c r="F690" s="48"/>
    </row>
    <row r="691">
      <c r="A691" s="48"/>
      <c r="C691" s="1"/>
      <c r="D691" s="48"/>
      <c r="E691" s="48"/>
      <c r="F691" s="48"/>
    </row>
    <row r="692">
      <c r="A692" s="48"/>
      <c r="C692" s="1"/>
      <c r="D692" s="48"/>
      <c r="E692" s="48"/>
      <c r="F692" s="48"/>
    </row>
    <row r="693">
      <c r="A693" s="48"/>
      <c r="C693" s="1"/>
      <c r="D693" s="48"/>
      <c r="E693" s="48"/>
      <c r="F693" s="48"/>
    </row>
    <row r="694">
      <c r="A694" s="48"/>
      <c r="C694" s="1"/>
      <c r="D694" s="48"/>
      <c r="E694" s="48"/>
      <c r="F694" s="48"/>
    </row>
    <row r="695">
      <c r="A695" s="48"/>
      <c r="C695" s="1"/>
      <c r="D695" s="48"/>
      <c r="E695" s="48"/>
      <c r="F695" s="48"/>
    </row>
    <row r="696">
      <c r="A696" s="48"/>
      <c r="C696" s="1"/>
      <c r="D696" s="48"/>
      <c r="E696" s="48"/>
      <c r="F696" s="48"/>
    </row>
    <row r="697">
      <c r="A697" s="48"/>
      <c r="C697" s="1"/>
      <c r="D697" s="48"/>
      <c r="E697" s="48"/>
      <c r="F697" s="48"/>
    </row>
    <row r="698">
      <c r="A698" s="48"/>
      <c r="C698" s="1"/>
      <c r="D698" s="48"/>
      <c r="E698" s="48"/>
      <c r="F698" s="48"/>
    </row>
    <row r="699">
      <c r="A699" s="48"/>
      <c r="C699" s="1"/>
      <c r="D699" s="48"/>
      <c r="E699" s="48"/>
      <c r="F699" s="48"/>
    </row>
    <row r="700">
      <c r="A700" s="48"/>
      <c r="C700" s="1"/>
      <c r="D700" s="48"/>
      <c r="E700" s="48"/>
      <c r="F700" s="48"/>
    </row>
    <row r="701">
      <c r="A701" s="48"/>
      <c r="C701" s="1"/>
      <c r="D701" s="48"/>
      <c r="E701" s="48"/>
      <c r="F701" s="48"/>
    </row>
    <row r="702">
      <c r="A702" s="48"/>
      <c r="C702" s="1"/>
      <c r="D702" s="48"/>
      <c r="E702" s="48"/>
      <c r="F702" s="48"/>
    </row>
    <row r="703">
      <c r="A703" s="48"/>
      <c r="C703" s="1"/>
      <c r="D703" s="48"/>
      <c r="E703" s="48"/>
      <c r="F703" s="48"/>
    </row>
    <row r="704">
      <c r="A704" s="48"/>
      <c r="C704" s="1"/>
      <c r="D704" s="48"/>
      <c r="E704" s="48"/>
      <c r="F704" s="48"/>
    </row>
    <row r="705">
      <c r="A705" s="48"/>
      <c r="C705" s="1"/>
      <c r="D705" s="48"/>
      <c r="E705" s="48"/>
      <c r="F705" s="48"/>
    </row>
    <row r="706">
      <c r="A706" s="48"/>
      <c r="C706" s="1"/>
      <c r="D706" s="48"/>
      <c r="E706" s="48"/>
      <c r="F706" s="48"/>
    </row>
    <row r="707">
      <c r="A707" s="48"/>
      <c r="C707" s="1"/>
      <c r="D707" s="48"/>
      <c r="E707" s="48"/>
      <c r="F707" s="48"/>
    </row>
    <row r="708">
      <c r="A708" s="48"/>
      <c r="C708" s="1"/>
      <c r="D708" s="48"/>
      <c r="E708" s="48"/>
      <c r="F708" s="48"/>
    </row>
    <row r="709">
      <c r="A709" s="48"/>
      <c r="C709" s="1"/>
      <c r="D709" s="48"/>
      <c r="E709" s="48"/>
      <c r="F709" s="48"/>
    </row>
    <row r="710">
      <c r="A710" s="48"/>
      <c r="C710" s="1"/>
      <c r="D710" s="48"/>
      <c r="E710" s="48"/>
      <c r="F710" s="48"/>
    </row>
    <row r="711">
      <c r="A711" s="48"/>
      <c r="C711" s="1"/>
      <c r="D711" s="48"/>
      <c r="E711" s="48"/>
      <c r="F711" s="48"/>
    </row>
    <row r="712">
      <c r="A712" s="48"/>
      <c r="C712" s="1"/>
      <c r="D712" s="48"/>
      <c r="E712" s="48"/>
      <c r="F712" s="48"/>
    </row>
    <row r="713">
      <c r="A713" s="48"/>
      <c r="C713" s="1"/>
      <c r="D713" s="48"/>
      <c r="E713" s="48"/>
      <c r="F713" s="48"/>
    </row>
    <row r="714">
      <c r="A714" s="48"/>
      <c r="C714" s="1"/>
      <c r="D714" s="48"/>
      <c r="E714" s="48"/>
      <c r="F714" s="48"/>
    </row>
    <row r="715">
      <c r="A715" s="48"/>
      <c r="C715" s="1"/>
      <c r="D715" s="48"/>
      <c r="E715" s="48"/>
      <c r="F715" s="48"/>
    </row>
    <row r="716">
      <c r="A716" s="48"/>
      <c r="C716" s="1"/>
      <c r="D716" s="48"/>
      <c r="E716" s="48"/>
      <c r="F716" s="48"/>
    </row>
    <row r="717">
      <c r="A717" s="48"/>
      <c r="C717" s="1"/>
      <c r="D717" s="48"/>
      <c r="E717" s="48"/>
      <c r="F717" s="48"/>
    </row>
    <row r="718">
      <c r="A718" s="48"/>
      <c r="C718" s="1"/>
      <c r="D718" s="48"/>
      <c r="E718" s="48"/>
      <c r="F718" s="48"/>
    </row>
    <row r="719">
      <c r="A719" s="48"/>
      <c r="C719" s="1"/>
      <c r="D719" s="48"/>
      <c r="E719" s="48"/>
      <c r="F719" s="48"/>
    </row>
    <row r="720">
      <c r="A720" s="48"/>
      <c r="C720" s="1"/>
      <c r="D720" s="48"/>
      <c r="E720" s="48"/>
      <c r="F720" s="48"/>
    </row>
    <row r="721">
      <c r="A721" s="48"/>
      <c r="C721" s="1"/>
      <c r="D721" s="48"/>
      <c r="E721" s="48"/>
      <c r="F721" s="48"/>
    </row>
    <row r="722">
      <c r="A722" s="48"/>
      <c r="C722" s="1"/>
      <c r="D722" s="48"/>
      <c r="E722" s="48"/>
      <c r="F722" s="48"/>
    </row>
    <row r="723">
      <c r="A723" s="48"/>
      <c r="C723" s="1"/>
      <c r="D723" s="48"/>
      <c r="E723" s="48"/>
      <c r="F723" s="48"/>
    </row>
    <row r="724">
      <c r="A724" s="48"/>
      <c r="C724" s="1"/>
      <c r="D724" s="48"/>
      <c r="E724" s="48"/>
      <c r="F724" s="48"/>
    </row>
    <row r="725">
      <c r="A725" s="48"/>
      <c r="C725" s="1"/>
      <c r="D725" s="48"/>
      <c r="E725" s="48"/>
      <c r="F725" s="48"/>
    </row>
    <row r="726">
      <c r="A726" s="48"/>
      <c r="C726" s="1"/>
      <c r="D726" s="48"/>
      <c r="E726" s="48"/>
      <c r="F726" s="48"/>
    </row>
    <row r="727">
      <c r="A727" s="48"/>
      <c r="C727" s="1"/>
      <c r="D727" s="48"/>
      <c r="E727" s="48"/>
      <c r="F727" s="48"/>
    </row>
    <row r="728">
      <c r="A728" s="48"/>
      <c r="C728" s="1"/>
      <c r="D728" s="48"/>
      <c r="E728" s="48"/>
      <c r="F728" s="48"/>
    </row>
    <row r="729">
      <c r="A729" s="48"/>
      <c r="C729" s="1"/>
      <c r="D729" s="48"/>
      <c r="E729" s="48"/>
      <c r="F729" s="48"/>
    </row>
    <row r="730">
      <c r="A730" s="48"/>
      <c r="C730" s="1"/>
      <c r="D730" s="48"/>
      <c r="E730" s="48"/>
      <c r="F730" s="48"/>
    </row>
    <row r="731">
      <c r="A731" s="48"/>
      <c r="C731" s="1"/>
      <c r="D731" s="48"/>
      <c r="E731" s="48"/>
      <c r="F731" s="48"/>
    </row>
    <row r="732">
      <c r="A732" s="48"/>
      <c r="C732" s="1"/>
      <c r="D732" s="48"/>
      <c r="E732" s="48"/>
      <c r="F732" s="48"/>
    </row>
    <row r="733">
      <c r="A733" s="48"/>
      <c r="C733" s="1"/>
      <c r="D733" s="48"/>
      <c r="E733" s="48"/>
      <c r="F733" s="48"/>
    </row>
    <row r="734">
      <c r="A734" s="48"/>
      <c r="C734" s="1"/>
      <c r="D734" s="48"/>
      <c r="E734" s="48"/>
      <c r="F734" s="48"/>
    </row>
    <row r="735">
      <c r="A735" s="48"/>
      <c r="C735" s="1"/>
      <c r="D735" s="48"/>
      <c r="E735" s="48"/>
      <c r="F735" s="48"/>
    </row>
    <row r="736">
      <c r="A736" s="48"/>
      <c r="C736" s="1"/>
      <c r="D736" s="48"/>
      <c r="E736" s="48"/>
      <c r="F736" s="48"/>
    </row>
    <row r="737">
      <c r="A737" s="48"/>
      <c r="C737" s="1"/>
      <c r="D737" s="48"/>
      <c r="E737" s="48"/>
      <c r="F737" s="48"/>
    </row>
    <row r="738">
      <c r="A738" s="48"/>
      <c r="C738" s="1"/>
      <c r="D738" s="48"/>
      <c r="E738" s="48"/>
      <c r="F738" s="48"/>
    </row>
    <row r="739">
      <c r="A739" s="48"/>
      <c r="C739" s="1"/>
      <c r="D739" s="48"/>
      <c r="E739" s="48"/>
      <c r="F739" s="48"/>
    </row>
    <row r="740">
      <c r="A740" s="48"/>
      <c r="C740" s="1"/>
      <c r="D740" s="48"/>
      <c r="E740" s="48"/>
      <c r="F740" s="48"/>
    </row>
    <row r="741">
      <c r="A741" s="48"/>
      <c r="C741" s="1"/>
      <c r="D741" s="48"/>
      <c r="E741" s="48"/>
      <c r="F741" s="48"/>
    </row>
    <row r="742">
      <c r="A742" s="48"/>
      <c r="C742" s="1"/>
      <c r="D742" s="48"/>
      <c r="E742" s="48"/>
      <c r="F742" s="48"/>
    </row>
    <row r="743">
      <c r="A743" s="48"/>
      <c r="C743" s="1"/>
      <c r="D743" s="48"/>
      <c r="E743" s="48"/>
      <c r="F743" s="48"/>
    </row>
    <row r="744">
      <c r="A744" s="48"/>
      <c r="C744" s="1"/>
      <c r="D744" s="48"/>
      <c r="E744" s="48"/>
      <c r="F744" s="48"/>
    </row>
    <row r="745">
      <c r="A745" s="48"/>
      <c r="C745" s="1"/>
      <c r="D745" s="48"/>
      <c r="E745" s="48"/>
      <c r="F745" s="48"/>
    </row>
    <row r="746">
      <c r="A746" s="48"/>
      <c r="C746" s="1"/>
      <c r="D746" s="48"/>
      <c r="E746" s="48"/>
      <c r="F746" s="48"/>
    </row>
    <row r="747">
      <c r="A747" s="48"/>
      <c r="C747" s="1"/>
      <c r="D747" s="48"/>
      <c r="E747" s="48"/>
      <c r="F747" s="48"/>
    </row>
    <row r="748">
      <c r="A748" s="48"/>
      <c r="C748" s="1"/>
      <c r="D748" s="48"/>
      <c r="E748" s="48"/>
      <c r="F748" s="48"/>
    </row>
    <row r="749">
      <c r="A749" s="48"/>
      <c r="C749" s="1"/>
      <c r="D749" s="48"/>
      <c r="E749" s="48"/>
      <c r="F749" s="48"/>
    </row>
    <row r="750">
      <c r="A750" s="48"/>
      <c r="C750" s="1"/>
      <c r="D750" s="48"/>
      <c r="E750" s="48"/>
      <c r="F750" s="48"/>
    </row>
    <row r="751">
      <c r="A751" s="48"/>
      <c r="C751" s="1"/>
      <c r="D751" s="48"/>
      <c r="E751" s="48"/>
      <c r="F751" s="48"/>
    </row>
    <row r="752">
      <c r="A752" s="48"/>
      <c r="C752" s="1"/>
      <c r="D752" s="48"/>
      <c r="E752" s="48"/>
      <c r="F752" s="48"/>
    </row>
    <row r="753">
      <c r="A753" s="48"/>
      <c r="C753" s="1"/>
      <c r="D753" s="48"/>
      <c r="E753" s="48"/>
      <c r="F753" s="48"/>
    </row>
    <row r="754">
      <c r="A754" s="48"/>
      <c r="C754" s="1"/>
      <c r="D754" s="48"/>
      <c r="E754" s="48"/>
      <c r="F754" s="48"/>
    </row>
    <row r="755">
      <c r="A755" s="48"/>
      <c r="C755" s="1"/>
      <c r="D755" s="48"/>
      <c r="E755" s="48"/>
      <c r="F755" s="48"/>
    </row>
    <row r="756">
      <c r="A756" s="48"/>
      <c r="C756" s="1"/>
      <c r="D756" s="48"/>
      <c r="E756" s="48"/>
      <c r="F756" s="48"/>
    </row>
    <row r="757">
      <c r="A757" s="48"/>
      <c r="C757" s="1"/>
      <c r="D757" s="48"/>
      <c r="E757" s="48"/>
      <c r="F757" s="48"/>
    </row>
    <row r="758">
      <c r="A758" s="48"/>
      <c r="C758" s="1"/>
      <c r="D758" s="48"/>
      <c r="E758" s="48"/>
      <c r="F758" s="48"/>
    </row>
    <row r="759">
      <c r="A759" s="48"/>
      <c r="C759" s="1"/>
      <c r="D759" s="48"/>
      <c r="E759" s="48"/>
      <c r="F759" s="48"/>
    </row>
    <row r="760">
      <c r="A760" s="48"/>
      <c r="C760" s="1"/>
      <c r="D760" s="48"/>
      <c r="E760" s="48"/>
      <c r="F760" s="48"/>
    </row>
    <row r="761">
      <c r="A761" s="48"/>
      <c r="C761" s="1"/>
      <c r="D761" s="48"/>
      <c r="E761" s="48"/>
      <c r="F761" s="48"/>
    </row>
    <row r="762">
      <c r="A762" s="48"/>
      <c r="C762" s="1"/>
      <c r="D762" s="48"/>
      <c r="E762" s="48"/>
      <c r="F762" s="48"/>
    </row>
    <row r="763">
      <c r="A763" s="48"/>
      <c r="C763" s="1"/>
      <c r="D763" s="48"/>
      <c r="E763" s="48"/>
      <c r="F763" s="48"/>
    </row>
    <row r="764">
      <c r="A764" s="48"/>
      <c r="C764" s="1"/>
      <c r="D764" s="48"/>
      <c r="E764" s="48"/>
      <c r="F764" s="48"/>
    </row>
    <row r="765">
      <c r="A765" s="48"/>
      <c r="C765" s="1"/>
      <c r="D765" s="48"/>
      <c r="E765" s="48"/>
      <c r="F765" s="48"/>
    </row>
    <row r="766">
      <c r="A766" s="48"/>
      <c r="C766" s="1"/>
      <c r="D766" s="48"/>
      <c r="E766" s="48"/>
      <c r="F766" s="48"/>
    </row>
    <row r="767">
      <c r="A767" s="48"/>
      <c r="C767" s="1"/>
      <c r="D767" s="48"/>
      <c r="E767" s="48"/>
      <c r="F767" s="48"/>
    </row>
    <row r="768">
      <c r="A768" s="48"/>
      <c r="C768" s="1"/>
      <c r="D768" s="48"/>
      <c r="E768" s="48"/>
      <c r="F768" s="48"/>
    </row>
    <row r="769">
      <c r="A769" s="48"/>
      <c r="C769" s="1"/>
      <c r="D769" s="48"/>
      <c r="E769" s="48"/>
      <c r="F769" s="48"/>
    </row>
    <row r="770">
      <c r="A770" s="48"/>
      <c r="C770" s="1"/>
      <c r="D770" s="48"/>
      <c r="E770" s="48"/>
      <c r="F770" s="48"/>
    </row>
    <row r="771">
      <c r="A771" s="48"/>
      <c r="C771" s="1"/>
      <c r="D771" s="48"/>
      <c r="E771" s="48"/>
      <c r="F771" s="48"/>
    </row>
    <row r="772">
      <c r="A772" s="48"/>
      <c r="C772" s="1"/>
      <c r="D772" s="48"/>
      <c r="E772" s="48"/>
      <c r="F772" s="48"/>
    </row>
    <row r="773">
      <c r="A773" s="48"/>
      <c r="C773" s="1"/>
      <c r="D773" s="48"/>
      <c r="E773" s="48"/>
      <c r="F773" s="48"/>
    </row>
    <row r="774">
      <c r="A774" s="48"/>
      <c r="C774" s="1"/>
      <c r="D774" s="48"/>
      <c r="E774" s="48"/>
      <c r="F774" s="48"/>
    </row>
    <row r="775">
      <c r="A775" s="48"/>
      <c r="C775" s="1"/>
      <c r="D775" s="48"/>
      <c r="E775" s="48"/>
      <c r="F775" s="48"/>
    </row>
    <row r="776">
      <c r="A776" s="48"/>
      <c r="C776" s="1"/>
      <c r="D776" s="48"/>
      <c r="E776" s="48"/>
      <c r="F776" s="48"/>
    </row>
    <row r="777">
      <c r="A777" s="48"/>
      <c r="C777" s="1"/>
      <c r="D777" s="48"/>
      <c r="E777" s="48"/>
      <c r="F777" s="48"/>
    </row>
    <row r="778">
      <c r="A778" s="48"/>
      <c r="C778" s="1"/>
      <c r="D778" s="48"/>
      <c r="E778" s="48"/>
      <c r="F778" s="48"/>
    </row>
    <row r="779">
      <c r="A779" s="48"/>
      <c r="C779" s="1"/>
      <c r="D779" s="48"/>
      <c r="E779" s="48"/>
      <c r="F779" s="48"/>
    </row>
    <row r="780">
      <c r="A780" s="48"/>
      <c r="C780" s="1"/>
      <c r="D780" s="48"/>
      <c r="E780" s="48"/>
      <c r="F780" s="48"/>
    </row>
    <row r="781">
      <c r="A781" s="48"/>
      <c r="C781" s="1"/>
      <c r="D781" s="48"/>
      <c r="E781" s="48"/>
      <c r="F781" s="48"/>
    </row>
    <row r="782">
      <c r="A782" s="48"/>
      <c r="C782" s="1"/>
      <c r="D782" s="48"/>
      <c r="E782" s="48"/>
      <c r="F782" s="48"/>
    </row>
    <row r="783">
      <c r="A783" s="48"/>
      <c r="C783" s="1"/>
      <c r="D783" s="48"/>
      <c r="E783" s="48"/>
      <c r="F783" s="48"/>
    </row>
    <row r="784">
      <c r="A784" s="48"/>
      <c r="C784" s="1"/>
      <c r="D784" s="48"/>
      <c r="E784" s="48"/>
      <c r="F784" s="48"/>
    </row>
    <row r="785">
      <c r="A785" s="48"/>
      <c r="C785" s="1"/>
      <c r="D785" s="48"/>
      <c r="E785" s="48"/>
      <c r="F785" s="48"/>
    </row>
    <row r="786">
      <c r="A786" s="48"/>
      <c r="C786" s="1"/>
      <c r="D786" s="48"/>
      <c r="E786" s="48"/>
      <c r="F786" s="48"/>
    </row>
    <row r="787">
      <c r="A787" s="48"/>
      <c r="C787" s="1"/>
      <c r="D787" s="48"/>
      <c r="E787" s="48"/>
      <c r="F787" s="48"/>
    </row>
    <row r="788">
      <c r="A788" s="48"/>
      <c r="C788" s="1"/>
      <c r="D788" s="48"/>
      <c r="E788" s="48"/>
      <c r="F788" s="48"/>
    </row>
    <row r="789">
      <c r="A789" s="48"/>
      <c r="C789" s="1"/>
      <c r="D789" s="48"/>
      <c r="E789" s="48"/>
      <c r="F789" s="48"/>
    </row>
    <row r="790">
      <c r="A790" s="48"/>
      <c r="C790" s="1"/>
      <c r="D790" s="48"/>
      <c r="E790" s="48"/>
      <c r="F790" s="48"/>
    </row>
    <row r="791">
      <c r="A791" s="48"/>
      <c r="C791" s="1"/>
      <c r="D791" s="48"/>
      <c r="E791" s="48"/>
      <c r="F791" s="48"/>
    </row>
    <row r="792">
      <c r="A792" s="48"/>
      <c r="C792" s="1"/>
      <c r="D792" s="48"/>
      <c r="E792" s="48"/>
      <c r="F792" s="48"/>
    </row>
    <row r="793">
      <c r="A793" s="48"/>
      <c r="C793" s="1"/>
      <c r="D793" s="48"/>
      <c r="E793" s="48"/>
      <c r="F793" s="48"/>
    </row>
    <row r="794">
      <c r="A794" s="48"/>
      <c r="C794" s="1"/>
      <c r="D794" s="48"/>
      <c r="E794" s="48"/>
      <c r="F794" s="48"/>
    </row>
    <row r="795">
      <c r="A795" s="48"/>
      <c r="C795" s="1"/>
      <c r="D795" s="48"/>
      <c r="E795" s="48"/>
      <c r="F795" s="48"/>
    </row>
    <row r="796">
      <c r="A796" s="48"/>
      <c r="C796" s="1"/>
      <c r="D796" s="48"/>
      <c r="E796" s="48"/>
      <c r="F796" s="48"/>
    </row>
    <row r="797">
      <c r="A797" s="48"/>
      <c r="C797" s="1"/>
      <c r="D797" s="48"/>
      <c r="E797" s="48"/>
      <c r="F797" s="48"/>
    </row>
    <row r="798">
      <c r="A798" s="48"/>
      <c r="C798" s="1"/>
      <c r="D798" s="48"/>
      <c r="E798" s="48"/>
      <c r="F798" s="48"/>
    </row>
    <row r="799">
      <c r="A799" s="48"/>
      <c r="C799" s="1"/>
      <c r="D799" s="48"/>
      <c r="E799" s="48"/>
      <c r="F799" s="48"/>
    </row>
    <row r="800">
      <c r="A800" s="48"/>
      <c r="C800" s="1"/>
      <c r="D800" s="48"/>
      <c r="E800" s="48"/>
      <c r="F800" s="48"/>
    </row>
    <row r="801">
      <c r="A801" s="48"/>
      <c r="C801" s="1"/>
      <c r="D801" s="48"/>
      <c r="E801" s="48"/>
      <c r="F801" s="48"/>
    </row>
    <row r="802">
      <c r="A802" s="48"/>
      <c r="C802" s="1"/>
      <c r="D802" s="48"/>
      <c r="E802" s="48"/>
      <c r="F802" s="48"/>
    </row>
    <row r="803">
      <c r="A803" s="48"/>
      <c r="C803" s="1"/>
      <c r="D803" s="48"/>
      <c r="E803" s="48"/>
      <c r="F803" s="48"/>
    </row>
    <row r="804">
      <c r="A804" s="48"/>
      <c r="C804" s="1"/>
      <c r="D804" s="48"/>
      <c r="E804" s="48"/>
      <c r="F804" s="48"/>
    </row>
    <row r="805">
      <c r="A805" s="48"/>
      <c r="C805" s="1"/>
      <c r="D805" s="48"/>
      <c r="E805" s="48"/>
      <c r="F805" s="48"/>
    </row>
    <row r="806">
      <c r="A806" s="48"/>
      <c r="C806" s="1"/>
      <c r="D806" s="48"/>
      <c r="E806" s="48"/>
      <c r="F806" s="48"/>
    </row>
    <row r="807">
      <c r="A807" s="48"/>
      <c r="C807" s="1"/>
      <c r="D807" s="48"/>
      <c r="E807" s="48"/>
      <c r="F807" s="48"/>
    </row>
    <row r="808">
      <c r="A808" s="48"/>
      <c r="C808" s="1"/>
      <c r="D808" s="48"/>
      <c r="E808" s="48"/>
      <c r="F808" s="48"/>
    </row>
    <row r="809">
      <c r="A809" s="48"/>
      <c r="C809" s="1"/>
      <c r="D809" s="48"/>
      <c r="E809" s="48"/>
      <c r="F809" s="48"/>
    </row>
    <row r="810">
      <c r="A810" s="48"/>
      <c r="C810" s="1"/>
      <c r="D810" s="48"/>
      <c r="E810" s="48"/>
      <c r="F810" s="48"/>
    </row>
    <row r="811">
      <c r="A811" s="48"/>
      <c r="C811" s="1"/>
      <c r="D811" s="48"/>
      <c r="E811" s="48"/>
      <c r="F811" s="48"/>
    </row>
    <row r="812">
      <c r="A812" s="48"/>
      <c r="C812" s="1"/>
      <c r="D812" s="48"/>
      <c r="E812" s="48"/>
      <c r="F812" s="48"/>
    </row>
    <row r="813">
      <c r="A813" s="48"/>
      <c r="C813" s="1"/>
      <c r="D813" s="48"/>
      <c r="E813" s="48"/>
      <c r="F813" s="48"/>
    </row>
    <row r="814">
      <c r="A814" s="48"/>
      <c r="C814" s="1"/>
      <c r="D814" s="48"/>
      <c r="E814" s="48"/>
      <c r="F814" s="48"/>
    </row>
    <row r="815">
      <c r="A815" s="48"/>
      <c r="C815" s="1"/>
      <c r="D815" s="48"/>
      <c r="E815" s="48"/>
      <c r="F815" s="48"/>
    </row>
    <row r="816">
      <c r="A816" s="48"/>
      <c r="C816" s="1"/>
      <c r="D816" s="48"/>
      <c r="E816" s="48"/>
      <c r="F816" s="48"/>
    </row>
    <row r="817">
      <c r="A817" s="48"/>
      <c r="C817" s="1"/>
      <c r="D817" s="48"/>
      <c r="E817" s="48"/>
      <c r="F817" s="48"/>
    </row>
    <row r="818">
      <c r="A818" s="48"/>
      <c r="C818" s="1"/>
      <c r="D818" s="48"/>
      <c r="E818" s="48"/>
      <c r="F818" s="48"/>
    </row>
    <row r="819">
      <c r="A819" s="48"/>
      <c r="C819" s="1"/>
      <c r="D819" s="48"/>
      <c r="E819" s="48"/>
      <c r="F819" s="48"/>
    </row>
    <row r="820">
      <c r="A820" s="48"/>
      <c r="C820" s="1"/>
      <c r="D820" s="48"/>
      <c r="E820" s="48"/>
      <c r="F820" s="48"/>
    </row>
    <row r="821">
      <c r="A821" s="48"/>
      <c r="C821" s="1"/>
      <c r="D821" s="48"/>
      <c r="E821" s="48"/>
      <c r="F821" s="48"/>
    </row>
    <row r="822">
      <c r="A822" s="48"/>
      <c r="C822" s="1"/>
      <c r="D822" s="48"/>
      <c r="E822" s="48"/>
      <c r="F822" s="48"/>
    </row>
    <row r="823">
      <c r="A823" s="48"/>
      <c r="C823" s="1"/>
      <c r="D823" s="48"/>
      <c r="E823" s="48"/>
      <c r="F823" s="48"/>
    </row>
    <row r="824">
      <c r="A824" s="48"/>
      <c r="C824" s="1"/>
      <c r="D824" s="48"/>
      <c r="E824" s="48"/>
      <c r="F824" s="48"/>
    </row>
    <row r="825">
      <c r="A825" s="48"/>
      <c r="C825" s="1"/>
      <c r="D825" s="48"/>
      <c r="E825" s="48"/>
      <c r="F825" s="48"/>
    </row>
    <row r="826">
      <c r="A826" s="48"/>
      <c r="C826" s="1"/>
      <c r="D826" s="48"/>
      <c r="E826" s="48"/>
      <c r="F826" s="48"/>
    </row>
    <row r="827">
      <c r="A827" s="48"/>
      <c r="C827" s="1"/>
      <c r="D827" s="48"/>
      <c r="E827" s="48"/>
      <c r="F827" s="48"/>
    </row>
    <row r="828">
      <c r="A828" s="48"/>
      <c r="C828" s="1"/>
      <c r="D828" s="48"/>
      <c r="E828" s="48"/>
      <c r="F828" s="48"/>
    </row>
    <row r="829">
      <c r="A829" s="48"/>
      <c r="C829" s="1"/>
      <c r="D829" s="48"/>
      <c r="E829" s="48"/>
      <c r="F829" s="48"/>
    </row>
    <row r="830">
      <c r="A830" s="48"/>
      <c r="C830" s="1"/>
      <c r="D830" s="48"/>
      <c r="E830" s="48"/>
      <c r="F830" s="48"/>
    </row>
    <row r="831">
      <c r="A831" s="48"/>
      <c r="C831" s="1"/>
      <c r="D831" s="48"/>
      <c r="E831" s="48"/>
      <c r="F831" s="48"/>
    </row>
    <row r="832">
      <c r="A832" s="48"/>
      <c r="C832" s="1"/>
      <c r="D832" s="48"/>
      <c r="E832" s="48"/>
      <c r="F832" s="48"/>
    </row>
    <row r="833">
      <c r="A833" s="48"/>
      <c r="C833" s="1"/>
      <c r="D833" s="48"/>
      <c r="E833" s="48"/>
      <c r="F833" s="48"/>
    </row>
    <row r="834">
      <c r="A834" s="48"/>
      <c r="C834" s="1"/>
      <c r="D834" s="48"/>
      <c r="E834" s="48"/>
      <c r="F834" s="48"/>
    </row>
    <row r="835">
      <c r="A835" s="48"/>
      <c r="C835" s="1"/>
      <c r="D835" s="48"/>
      <c r="E835" s="48"/>
      <c r="F835" s="48"/>
    </row>
    <row r="836">
      <c r="A836" s="48"/>
      <c r="C836" s="1"/>
      <c r="D836" s="48"/>
      <c r="E836" s="48"/>
      <c r="F836" s="48"/>
    </row>
    <row r="837">
      <c r="A837" s="48"/>
      <c r="C837" s="1"/>
      <c r="D837" s="48"/>
      <c r="E837" s="48"/>
      <c r="F837" s="48"/>
    </row>
    <row r="838">
      <c r="A838" s="48"/>
      <c r="C838" s="1"/>
      <c r="D838" s="48"/>
      <c r="E838" s="48"/>
      <c r="F838" s="48"/>
    </row>
    <row r="839">
      <c r="A839" s="48"/>
      <c r="C839" s="1"/>
      <c r="D839" s="48"/>
      <c r="E839" s="48"/>
      <c r="F839" s="48"/>
    </row>
    <row r="840">
      <c r="A840" s="48"/>
      <c r="C840" s="1"/>
      <c r="D840" s="48"/>
      <c r="E840" s="48"/>
      <c r="F840" s="48"/>
    </row>
    <row r="841">
      <c r="A841" s="48"/>
      <c r="C841" s="1"/>
      <c r="D841" s="48"/>
      <c r="E841" s="48"/>
      <c r="F841" s="48"/>
    </row>
    <row r="842">
      <c r="A842" s="48"/>
      <c r="C842" s="1"/>
      <c r="D842" s="48"/>
      <c r="E842" s="48"/>
      <c r="F842" s="48"/>
    </row>
    <row r="843">
      <c r="A843" s="48"/>
      <c r="C843" s="1"/>
      <c r="D843" s="48"/>
      <c r="E843" s="48"/>
      <c r="F843" s="48"/>
    </row>
    <row r="844">
      <c r="A844" s="48"/>
      <c r="C844" s="1"/>
      <c r="D844" s="48"/>
      <c r="E844" s="48"/>
      <c r="F844" s="48"/>
    </row>
    <row r="845">
      <c r="A845" s="48"/>
      <c r="C845" s="1"/>
      <c r="D845" s="48"/>
      <c r="E845" s="48"/>
      <c r="F845" s="48"/>
    </row>
    <row r="846">
      <c r="A846" s="48"/>
      <c r="C846" s="1"/>
      <c r="D846" s="48"/>
      <c r="E846" s="48"/>
      <c r="F846" s="48"/>
    </row>
    <row r="847">
      <c r="A847" s="48"/>
      <c r="C847" s="1"/>
      <c r="D847" s="48"/>
      <c r="E847" s="48"/>
      <c r="F847" s="48"/>
    </row>
    <row r="848">
      <c r="A848" s="48"/>
      <c r="C848" s="1"/>
      <c r="D848" s="48"/>
      <c r="E848" s="48"/>
      <c r="F848" s="48"/>
    </row>
    <row r="849">
      <c r="A849" s="48"/>
      <c r="C849" s="1"/>
      <c r="D849" s="48"/>
      <c r="E849" s="48"/>
      <c r="F849" s="48"/>
    </row>
    <row r="850">
      <c r="A850" s="48"/>
      <c r="C850" s="1"/>
      <c r="D850" s="48"/>
      <c r="E850" s="48"/>
      <c r="F850" s="48"/>
    </row>
    <row r="851">
      <c r="A851" s="48"/>
      <c r="C851" s="1"/>
      <c r="D851" s="48"/>
      <c r="E851" s="48"/>
      <c r="F851" s="48"/>
    </row>
    <row r="852">
      <c r="A852" s="48"/>
      <c r="C852" s="1"/>
      <c r="D852" s="48"/>
      <c r="E852" s="48"/>
      <c r="F852" s="48"/>
    </row>
    <row r="853">
      <c r="A853" s="48"/>
      <c r="C853" s="1"/>
      <c r="D853" s="48"/>
      <c r="E853" s="48"/>
      <c r="F853" s="48"/>
    </row>
    <row r="854">
      <c r="A854" s="48"/>
      <c r="C854" s="1"/>
      <c r="D854" s="48"/>
      <c r="E854" s="48"/>
      <c r="F854" s="48"/>
    </row>
    <row r="855">
      <c r="A855" s="48"/>
      <c r="C855" s="1"/>
      <c r="D855" s="48"/>
      <c r="E855" s="48"/>
      <c r="F855" s="48"/>
    </row>
    <row r="856">
      <c r="A856" s="48"/>
      <c r="C856" s="1"/>
      <c r="D856" s="48"/>
      <c r="E856" s="48"/>
      <c r="F856" s="48"/>
    </row>
    <row r="857">
      <c r="A857" s="48"/>
      <c r="C857" s="1"/>
      <c r="D857" s="48"/>
      <c r="E857" s="48"/>
      <c r="F857" s="48"/>
    </row>
    <row r="858">
      <c r="A858" s="48"/>
      <c r="C858" s="1"/>
      <c r="D858" s="48"/>
      <c r="E858" s="48"/>
      <c r="F858" s="48"/>
    </row>
    <row r="859">
      <c r="A859" s="48"/>
      <c r="C859" s="1"/>
      <c r="D859" s="48"/>
      <c r="E859" s="48"/>
      <c r="F859" s="48"/>
    </row>
    <row r="860">
      <c r="A860" s="48"/>
      <c r="C860" s="1"/>
      <c r="D860" s="48"/>
      <c r="E860" s="48"/>
      <c r="F860" s="48"/>
    </row>
    <row r="861">
      <c r="A861" s="48"/>
      <c r="C861" s="1"/>
      <c r="D861" s="48"/>
      <c r="E861" s="48"/>
      <c r="F861" s="48"/>
    </row>
    <row r="862">
      <c r="A862" s="48"/>
      <c r="C862" s="1"/>
      <c r="D862" s="48"/>
      <c r="E862" s="48"/>
      <c r="F862" s="48"/>
    </row>
    <row r="863">
      <c r="A863" s="48"/>
      <c r="C863" s="1"/>
      <c r="D863" s="48"/>
      <c r="E863" s="48"/>
      <c r="F863" s="48"/>
    </row>
    <row r="864">
      <c r="A864" s="48"/>
      <c r="C864" s="1"/>
      <c r="D864" s="48"/>
      <c r="E864" s="48"/>
      <c r="F864" s="48"/>
    </row>
    <row r="865">
      <c r="A865" s="48"/>
      <c r="C865" s="1"/>
      <c r="D865" s="48"/>
      <c r="E865" s="48"/>
      <c r="F865" s="48"/>
    </row>
    <row r="866">
      <c r="A866" s="48"/>
      <c r="C866" s="1"/>
      <c r="D866" s="48"/>
      <c r="E866" s="48"/>
      <c r="F866" s="48"/>
    </row>
    <row r="867">
      <c r="A867" s="48"/>
      <c r="C867" s="1"/>
      <c r="D867" s="48"/>
      <c r="E867" s="48"/>
      <c r="F867" s="48"/>
    </row>
    <row r="868">
      <c r="A868" s="48"/>
      <c r="C868" s="1"/>
      <c r="D868" s="48"/>
      <c r="E868" s="48"/>
      <c r="F868" s="48"/>
    </row>
    <row r="869">
      <c r="A869" s="48"/>
      <c r="C869" s="1"/>
      <c r="D869" s="48"/>
      <c r="E869" s="48"/>
      <c r="F869" s="48"/>
    </row>
    <row r="870">
      <c r="A870" s="48"/>
      <c r="C870" s="1"/>
      <c r="D870" s="48"/>
      <c r="E870" s="48"/>
      <c r="F870" s="48"/>
    </row>
    <row r="871">
      <c r="A871" s="48"/>
      <c r="C871" s="1"/>
      <c r="D871" s="48"/>
      <c r="E871" s="48"/>
      <c r="F871" s="48"/>
    </row>
    <row r="872">
      <c r="A872" s="48"/>
      <c r="C872" s="1"/>
      <c r="D872" s="48"/>
      <c r="E872" s="48"/>
      <c r="F872" s="48"/>
    </row>
    <row r="873">
      <c r="A873" s="48"/>
      <c r="C873" s="1"/>
      <c r="D873" s="48"/>
      <c r="E873" s="48"/>
      <c r="F873" s="48"/>
    </row>
    <row r="874">
      <c r="A874" s="48"/>
      <c r="C874" s="1"/>
      <c r="D874" s="48"/>
      <c r="E874" s="48"/>
      <c r="F874" s="48"/>
    </row>
    <row r="875">
      <c r="A875" s="48"/>
      <c r="C875" s="1"/>
      <c r="D875" s="48"/>
      <c r="E875" s="48"/>
      <c r="F875" s="48"/>
    </row>
    <row r="876">
      <c r="A876" s="48"/>
      <c r="C876" s="1"/>
      <c r="D876" s="48"/>
      <c r="E876" s="48"/>
      <c r="F876" s="48"/>
    </row>
    <row r="877">
      <c r="A877" s="48"/>
      <c r="C877" s="1"/>
      <c r="D877" s="48"/>
      <c r="E877" s="48"/>
      <c r="F877" s="48"/>
    </row>
    <row r="878">
      <c r="A878" s="48"/>
      <c r="C878" s="1"/>
      <c r="D878" s="48"/>
      <c r="E878" s="48"/>
      <c r="F878" s="48"/>
    </row>
    <row r="879">
      <c r="A879" s="48"/>
      <c r="C879" s="1"/>
      <c r="D879" s="48"/>
      <c r="E879" s="48"/>
      <c r="F879" s="48"/>
    </row>
    <row r="880">
      <c r="A880" s="48"/>
      <c r="C880" s="1"/>
      <c r="D880" s="48"/>
      <c r="E880" s="48"/>
      <c r="F880" s="48"/>
    </row>
    <row r="881">
      <c r="A881" s="48"/>
      <c r="C881" s="1"/>
      <c r="D881" s="48"/>
      <c r="E881" s="48"/>
      <c r="F881" s="48"/>
    </row>
    <row r="882">
      <c r="A882" s="48"/>
      <c r="C882" s="1"/>
      <c r="D882" s="48"/>
      <c r="E882" s="48"/>
      <c r="F882" s="48"/>
    </row>
    <row r="883">
      <c r="A883" s="48"/>
      <c r="C883" s="1"/>
      <c r="D883" s="48"/>
      <c r="E883" s="48"/>
      <c r="F883" s="48"/>
    </row>
    <row r="884">
      <c r="A884" s="48"/>
      <c r="C884" s="1"/>
      <c r="D884" s="48"/>
      <c r="E884" s="48"/>
      <c r="F884" s="48"/>
    </row>
    <row r="885">
      <c r="A885" s="48"/>
      <c r="C885" s="1"/>
      <c r="D885" s="48"/>
      <c r="E885" s="48"/>
      <c r="F885" s="48"/>
    </row>
    <row r="886">
      <c r="A886" s="48"/>
      <c r="C886" s="1"/>
      <c r="D886" s="48"/>
      <c r="E886" s="48"/>
      <c r="F886" s="48"/>
    </row>
    <row r="887">
      <c r="A887" s="48"/>
      <c r="C887" s="1"/>
      <c r="D887" s="48"/>
      <c r="E887" s="48"/>
      <c r="F887" s="48"/>
    </row>
    <row r="888">
      <c r="A888" s="48"/>
      <c r="C888" s="1"/>
      <c r="D888" s="48"/>
      <c r="E888" s="48"/>
      <c r="F888" s="48"/>
    </row>
    <row r="889">
      <c r="A889" s="48"/>
      <c r="C889" s="1"/>
      <c r="D889" s="48"/>
      <c r="E889" s="48"/>
      <c r="F889" s="48"/>
    </row>
    <row r="890">
      <c r="A890" s="48"/>
      <c r="C890" s="1"/>
      <c r="D890" s="48"/>
      <c r="E890" s="48"/>
      <c r="F890" s="48"/>
    </row>
    <row r="891">
      <c r="A891" s="48"/>
      <c r="C891" s="1"/>
      <c r="D891" s="48"/>
      <c r="E891" s="48"/>
      <c r="F891" s="48"/>
    </row>
    <row r="892">
      <c r="A892" s="48"/>
      <c r="C892" s="1"/>
      <c r="D892" s="48"/>
      <c r="E892" s="48"/>
      <c r="F892" s="48"/>
    </row>
    <row r="893">
      <c r="A893" s="48"/>
      <c r="C893" s="1"/>
      <c r="D893" s="48"/>
      <c r="E893" s="48"/>
      <c r="F893" s="48"/>
    </row>
    <row r="894">
      <c r="A894" s="48"/>
      <c r="C894" s="1"/>
      <c r="D894" s="48"/>
      <c r="E894" s="48"/>
      <c r="F894" s="48"/>
    </row>
    <row r="895">
      <c r="A895" s="48"/>
      <c r="C895" s="1"/>
      <c r="D895" s="48"/>
      <c r="E895" s="48"/>
      <c r="F895" s="48"/>
    </row>
    <row r="896">
      <c r="A896" s="48"/>
      <c r="C896" s="1"/>
      <c r="D896" s="48"/>
      <c r="E896" s="48"/>
      <c r="F896" s="48"/>
    </row>
    <row r="897">
      <c r="A897" s="48"/>
      <c r="C897" s="1"/>
      <c r="D897" s="48"/>
      <c r="E897" s="48"/>
      <c r="F897" s="48"/>
    </row>
    <row r="898">
      <c r="A898" s="48"/>
      <c r="C898" s="1"/>
      <c r="D898" s="48"/>
      <c r="E898" s="48"/>
      <c r="F898" s="48"/>
    </row>
    <row r="899">
      <c r="A899" s="48"/>
      <c r="C899" s="1"/>
      <c r="D899" s="48"/>
      <c r="E899" s="48"/>
      <c r="F899" s="48"/>
    </row>
    <row r="900">
      <c r="A900" s="48"/>
      <c r="C900" s="1"/>
      <c r="D900" s="48"/>
      <c r="E900" s="48"/>
      <c r="F900" s="48"/>
    </row>
    <row r="901">
      <c r="A901" s="48"/>
      <c r="C901" s="1"/>
      <c r="D901" s="48"/>
      <c r="E901" s="48"/>
      <c r="F901" s="48"/>
    </row>
    <row r="902">
      <c r="A902" s="48"/>
      <c r="C902" s="1"/>
      <c r="D902" s="48"/>
      <c r="E902" s="48"/>
      <c r="F902" s="48"/>
    </row>
    <row r="903">
      <c r="A903" s="48"/>
      <c r="C903" s="1"/>
      <c r="D903" s="48"/>
      <c r="E903" s="48"/>
      <c r="F903" s="48"/>
    </row>
    <row r="904">
      <c r="A904" s="48"/>
      <c r="C904" s="1"/>
      <c r="D904" s="48"/>
      <c r="E904" s="48"/>
      <c r="F904" s="48"/>
    </row>
    <row r="905">
      <c r="A905" s="48"/>
      <c r="C905" s="1"/>
      <c r="D905" s="48"/>
      <c r="E905" s="48"/>
      <c r="F905" s="48"/>
    </row>
    <row r="906">
      <c r="A906" s="48"/>
      <c r="C906" s="1"/>
      <c r="D906" s="48"/>
      <c r="E906" s="48"/>
      <c r="F906" s="48"/>
    </row>
    <row r="907">
      <c r="A907" s="48"/>
      <c r="C907" s="1"/>
      <c r="D907" s="48"/>
      <c r="E907" s="48"/>
      <c r="F907" s="48"/>
    </row>
    <row r="908">
      <c r="A908" s="48"/>
      <c r="C908" s="1"/>
      <c r="D908" s="48"/>
      <c r="E908" s="48"/>
      <c r="F908" s="48"/>
    </row>
    <row r="909">
      <c r="A909" s="48"/>
      <c r="C909" s="1"/>
      <c r="D909" s="48"/>
      <c r="E909" s="48"/>
      <c r="F909" s="48"/>
    </row>
    <row r="910">
      <c r="A910" s="48"/>
      <c r="C910" s="1"/>
      <c r="D910" s="48"/>
      <c r="E910" s="48"/>
      <c r="F910" s="48"/>
    </row>
    <row r="911">
      <c r="A911" s="48"/>
      <c r="C911" s="1"/>
      <c r="D911" s="48"/>
      <c r="E911" s="48"/>
      <c r="F911" s="48"/>
    </row>
    <row r="912">
      <c r="A912" s="48"/>
      <c r="C912" s="1"/>
      <c r="D912" s="48"/>
      <c r="E912" s="48"/>
      <c r="F912" s="48"/>
    </row>
    <row r="913">
      <c r="A913" s="48"/>
      <c r="C913" s="1"/>
      <c r="D913" s="48"/>
      <c r="E913" s="48"/>
      <c r="F913" s="48"/>
    </row>
    <row r="914">
      <c r="A914" s="48"/>
      <c r="C914" s="1"/>
      <c r="D914" s="48"/>
      <c r="E914" s="48"/>
      <c r="F914" s="48"/>
    </row>
    <row r="915">
      <c r="A915" s="48"/>
      <c r="C915" s="1"/>
      <c r="D915" s="48"/>
      <c r="E915" s="48"/>
      <c r="F915" s="48"/>
    </row>
    <row r="916">
      <c r="A916" s="48"/>
      <c r="C916" s="1"/>
      <c r="D916" s="48"/>
      <c r="E916" s="48"/>
      <c r="F916" s="48"/>
    </row>
    <row r="917">
      <c r="A917" s="48"/>
      <c r="C917" s="1"/>
      <c r="D917" s="48"/>
      <c r="E917" s="48"/>
      <c r="F917" s="48"/>
    </row>
    <row r="918">
      <c r="A918" s="48"/>
      <c r="C918" s="1"/>
      <c r="D918" s="48"/>
      <c r="E918" s="48"/>
      <c r="F918" s="48"/>
    </row>
    <row r="919">
      <c r="A919" s="48"/>
      <c r="C919" s="1"/>
      <c r="D919" s="48"/>
      <c r="E919" s="48"/>
      <c r="F919" s="48"/>
    </row>
    <row r="920">
      <c r="A920" s="48"/>
      <c r="C920" s="1"/>
      <c r="D920" s="48"/>
      <c r="E920" s="48"/>
      <c r="F920" s="48"/>
    </row>
    <row r="921">
      <c r="A921" s="48"/>
      <c r="C921" s="1"/>
      <c r="D921" s="48"/>
      <c r="E921" s="48"/>
      <c r="F921" s="48"/>
    </row>
    <row r="922">
      <c r="A922" s="48"/>
      <c r="C922" s="1"/>
      <c r="D922" s="48"/>
      <c r="E922" s="48"/>
      <c r="F922" s="48"/>
    </row>
    <row r="923">
      <c r="A923" s="48"/>
      <c r="C923" s="1"/>
      <c r="D923" s="48"/>
      <c r="E923" s="48"/>
      <c r="F923" s="48"/>
    </row>
    <row r="924">
      <c r="A924" s="48"/>
      <c r="C924" s="1"/>
      <c r="D924" s="48"/>
      <c r="E924" s="48"/>
      <c r="F924" s="48"/>
    </row>
    <row r="925">
      <c r="A925" s="48"/>
      <c r="C925" s="1"/>
      <c r="D925" s="48"/>
      <c r="E925" s="48"/>
      <c r="F925" s="48"/>
    </row>
    <row r="926">
      <c r="A926" s="48"/>
      <c r="C926" s="1"/>
      <c r="D926" s="48"/>
      <c r="E926" s="48"/>
      <c r="F926" s="48"/>
    </row>
    <row r="927">
      <c r="A927" s="48"/>
      <c r="C927" s="1"/>
      <c r="D927" s="48"/>
      <c r="E927" s="48"/>
      <c r="F927" s="48"/>
    </row>
    <row r="928">
      <c r="A928" s="48"/>
      <c r="C928" s="1"/>
      <c r="D928" s="48"/>
      <c r="E928" s="48"/>
      <c r="F928" s="48"/>
    </row>
    <row r="929">
      <c r="A929" s="48"/>
      <c r="C929" s="1"/>
      <c r="D929" s="48"/>
      <c r="E929" s="48"/>
      <c r="F929" s="48"/>
    </row>
    <row r="930">
      <c r="A930" s="48"/>
      <c r="C930" s="1"/>
      <c r="D930" s="48"/>
      <c r="E930" s="48"/>
      <c r="F930" s="48"/>
    </row>
    <row r="931">
      <c r="A931" s="48"/>
      <c r="C931" s="1"/>
      <c r="D931" s="48"/>
      <c r="E931" s="48"/>
      <c r="F931" s="48"/>
    </row>
    <row r="932">
      <c r="A932" s="48"/>
      <c r="C932" s="1"/>
      <c r="D932" s="48"/>
      <c r="E932" s="48"/>
      <c r="F932" s="48"/>
    </row>
    <row r="933">
      <c r="A933" s="48"/>
      <c r="C933" s="1"/>
      <c r="D933" s="48"/>
      <c r="E933" s="48"/>
      <c r="F933" s="48"/>
    </row>
    <row r="934">
      <c r="A934" s="48"/>
      <c r="C934" s="1"/>
      <c r="D934" s="48"/>
      <c r="E934" s="48"/>
      <c r="F934" s="48"/>
    </row>
    <row r="935">
      <c r="A935" s="48"/>
      <c r="C935" s="1"/>
      <c r="D935" s="48"/>
      <c r="E935" s="48"/>
      <c r="F935" s="48"/>
    </row>
    <row r="936">
      <c r="A936" s="48"/>
      <c r="C936" s="1"/>
      <c r="D936" s="48"/>
      <c r="E936" s="48"/>
      <c r="F936" s="48"/>
    </row>
    <row r="937">
      <c r="A937" s="48"/>
      <c r="C937" s="1"/>
      <c r="D937" s="48"/>
      <c r="E937" s="48"/>
      <c r="F937" s="48"/>
    </row>
    <row r="938">
      <c r="A938" s="48"/>
      <c r="C938" s="1"/>
      <c r="D938" s="48"/>
      <c r="E938" s="48"/>
      <c r="F938" s="48"/>
    </row>
    <row r="939">
      <c r="A939" s="48"/>
      <c r="C939" s="1"/>
      <c r="D939" s="48"/>
      <c r="E939" s="48"/>
      <c r="F939" s="48"/>
    </row>
    <row r="940">
      <c r="A940" s="48"/>
      <c r="C940" s="1"/>
      <c r="D940" s="48"/>
      <c r="E940" s="48"/>
      <c r="F940" s="48"/>
    </row>
    <row r="941">
      <c r="A941" s="48"/>
      <c r="C941" s="1"/>
      <c r="D941" s="48"/>
      <c r="E941" s="48"/>
      <c r="F941" s="48"/>
    </row>
    <row r="942">
      <c r="A942" s="48"/>
      <c r="C942" s="1"/>
      <c r="D942" s="48"/>
      <c r="E942" s="48"/>
      <c r="F942" s="48"/>
    </row>
    <row r="943">
      <c r="A943" s="48"/>
      <c r="C943" s="1"/>
      <c r="D943" s="48"/>
      <c r="E943" s="48"/>
      <c r="F943" s="48"/>
    </row>
    <row r="944">
      <c r="A944" s="48"/>
      <c r="C944" s="1"/>
      <c r="D944" s="48"/>
      <c r="E944" s="48"/>
      <c r="F944" s="48"/>
    </row>
    <row r="945">
      <c r="A945" s="48"/>
      <c r="C945" s="1"/>
      <c r="D945" s="48"/>
      <c r="E945" s="48"/>
      <c r="F945" s="48"/>
    </row>
    <row r="946">
      <c r="A946" s="48"/>
      <c r="C946" s="1"/>
      <c r="D946" s="48"/>
      <c r="E946" s="48"/>
      <c r="F946" s="48"/>
    </row>
    <row r="947">
      <c r="A947" s="48"/>
      <c r="C947" s="1"/>
      <c r="D947" s="48"/>
      <c r="E947" s="48"/>
      <c r="F947" s="48"/>
    </row>
    <row r="948">
      <c r="A948" s="48"/>
      <c r="C948" s="1"/>
      <c r="D948" s="48"/>
      <c r="E948" s="48"/>
      <c r="F948" s="48"/>
    </row>
    <row r="949">
      <c r="A949" s="48"/>
      <c r="C949" s="1"/>
      <c r="D949" s="48"/>
      <c r="E949" s="48"/>
      <c r="F949" s="48"/>
    </row>
    <row r="950">
      <c r="A950" s="48"/>
      <c r="C950" s="1"/>
      <c r="D950" s="48"/>
      <c r="E950" s="48"/>
      <c r="F950" s="48"/>
    </row>
    <row r="951">
      <c r="A951" s="48"/>
      <c r="C951" s="1"/>
      <c r="D951" s="48"/>
      <c r="E951" s="48"/>
      <c r="F951" s="48"/>
    </row>
    <row r="952">
      <c r="A952" s="48"/>
      <c r="C952" s="1"/>
      <c r="D952" s="48"/>
      <c r="E952" s="48"/>
      <c r="F952" s="48"/>
    </row>
    <row r="953">
      <c r="A953" s="48"/>
      <c r="C953" s="1"/>
      <c r="D953" s="48"/>
      <c r="E953" s="48"/>
      <c r="F953" s="48"/>
    </row>
    <row r="954">
      <c r="A954" s="48"/>
      <c r="C954" s="1"/>
      <c r="D954" s="48"/>
      <c r="E954" s="48"/>
      <c r="F954" s="48"/>
    </row>
    <row r="955">
      <c r="A955" s="48"/>
      <c r="C955" s="1"/>
      <c r="D955" s="48"/>
      <c r="E955" s="48"/>
      <c r="F955" s="48"/>
    </row>
    <row r="956">
      <c r="A956" s="48"/>
      <c r="C956" s="1"/>
      <c r="D956" s="48"/>
      <c r="E956" s="48"/>
      <c r="F956" s="48"/>
    </row>
    <row r="957">
      <c r="A957" s="48"/>
      <c r="C957" s="1"/>
      <c r="D957" s="48"/>
      <c r="E957" s="48"/>
      <c r="F957" s="48"/>
    </row>
    <row r="958">
      <c r="A958" s="48"/>
      <c r="C958" s="1"/>
      <c r="D958" s="48"/>
      <c r="E958" s="48"/>
      <c r="F958" s="48"/>
    </row>
    <row r="959">
      <c r="A959" s="48"/>
      <c r="C959" s="1"/>
      <c r="D959" s="48"/>
      <c r="E959" s="48"/>
      <c r="F959" s="48"/>
    </row>
    <row r="960">
      <c r="A960" s="48"/>
      <c r="C960" s="1"/>
      <c r="D960" s="48"/>
      <c r="E960" s="48"/>
      <c r="F960" s="48"/>
    </row>
    <row r="961">
      <c r="A961" s="48"/>
      <c r="C961" s="1"/>
      <c r="D961" s="48"/>
      <c r="E961" s="48"/>
      <c r="F961" s="48"/>
    </row>
    <row r="962">
      <c r="A962" s="48"/>
      <c r="C962" s="1"/>
      <c r="D962" s="48"/>
      <c r="E962" s="48"/>
      <c r="F962" s="48"/>
    </row>
    <row r="963">
      <c r="A963" s="48"/>
      <c r="C963" s="1"/>
      <c r="D963" s="48"/>
      <c r="E963" s="48"/>
      <c r="F963" s="48"/>
    </row>
    <row r="964">
      <c r="A964" s="48"/>
      <c r="C964" s="1"/>
      <c r="D964" s="48"/>
      <c r="E964" s="48"/>
      <c r="F964" s="48"/>
    </row>
    <row r="965">
      <c r="A965" s="48"/>
      <c r="C965" s="1"/>
      <c r="D965" s="48"/>
      <c r="E965" s="48"/>
      <c r="F965" s="48"/>
    </row>
    <row r="966">
      <c r="A966" s="48"/>
      <c r="C966" s="1"/>
      <c r="D966" s="48"/>
      <c r="E966" s="48"/>
      <c r="F966" s="48"/>
    </row>
    <row r="967">
      <c r="A967" s="48"/>
      <c r="C967" s="1"/>
      <c r="D967" s="48"/>
      <c r="E967" s="48"/>
      <c r="F967" s="48"/>
    </row>
    <row r="968">
      <c r="A968" s="48"/>
      <c r="C968" s="1"/>
      <c r="D968" s="48"/>
      <c r="E968" s="48"/>
      <c r="F968" s="48"/>
    </row>
    <row r="969">
      <c r="A969" s="48"/>
      <c r="C969" s="1"/>
      <c r="D969" s="48"/>
      <c r="E969" s="48"/>
      <c r="F969" s="48"/>
    </row>
    <row r="970">
      <c r="A970" s="48"/>
      <c r="C970" s="1"/>
      <c r="D970" s="48"/>
      <c r="E970" s="48"/>
      <c r="F970" s="48"/>
    </row>
    <row r="971">
      <c r="A971" s="48"/>
      <c r="C971" s="1"/>
      <c r="D971" s="48"/>
      <c r="E971" s="48"/>
      <c r="F971" s="48"/>
    </row>
    <row r="972">
      <c r="A972" s="48"/>
      <c r="C972" s="1"/>
      <c r="D972" s="48"/>
      <c r="E972" s="48"/>
      <c r="F972" s="48"/>
    </row>
    <row r="973">
      <c r="A973" s="48"/>
      <c r="C973" s="1"/>
      <c r="D973" s="48"/>
      <c r="E973" s="48"/>
      <c r="F973" s="48"/>
    </row>
    <row r="974">
      <c r="A974" s="48"/>
      <c r="C974" s="1"/>
      <c r="D974" s="48"/>
      <c r="E974" s="48"/>
      <c r="F974" s="48"/>
    </row>
    <row r="975">
      <c r="A975" s="48"/>
      <c r="C975" s="1"/>
      <c r="D975" s="48"/>
      <c r="E975" s="48"/>
      <c r="F975" s="48"/>
    </row>
    <row r="976">
      <c r="A976" s="48"/>
      <c r="C976" s="1"/>
      <c r="D976" s="48"/>
      <c r="E976" s="48"/>
      <c r="F976" s="48"/>
    </row>
    <row r="977">
      <c r="A977" s="48"/>
      <c r="C977" s="1"/>
      <c r="D977" s="48"/>
      <c r="E977" s="48"/>
      <c r="F977" s="48"/>
    </row>
    <row r="978">
      <c r="A978" s="48"/>
      <c r="C978" s="1"/>
      <c r="D978" s="48"/>
      <c r="E978" s="48"/>
      <c r="F978" s="48"/>
    </row>
    <row r="979">
      <c r="A979" s="48"/>
      <c r="C979" s="1"/>
      <c r="D979" s="48"/>
      <c r="E979" s="48"/>
      <c r="F979" s="48"/>
    </row>
    <row r="980">
      <c r="A980" s="48"/>
      <c r="C980" s="1"/>
      <c r="D980" s="48"/>
      <c r="E980" s="48"/>
      <c r="F980" s="48"/>
    </row>
    <row r="981">
      <c r="A981" s="48"/>
      <c r="C981" s="1"/>
      <c r="D981" s="48"/>
      <c r="E981" s="48"/>
      <c r="F981" s="48"/>
    </row>
    <row r="982">
      <c r="A982" s="48"/>
      <c r="C982" s="1"/>
      <c r="D982" s="48"/>
      <c r="E982" s="48"/>
      <c r="F982" s="48"/>
    </row>
    <row r="983">
      <c r="A983" s="48"/>
      <c r="C983" s="1"/>
      <c r="D983" s="48"/>
      <c r="E983" s="48"/>
      <c r="F983" s="48"/>
    </row>
    <row r="984">
      <c r="A984" s="48"/>
      <c r="C984" s="1"/>
      <c r="D984" s="48"/>
      <c r="E984" s="48"/>
      <c r="F984" s="48"/>
    </row>
    <row r="985">
      <c r="A985" s="48"/>
      <c r="C985" s="1"/>
      <c r="D985" s="48"/>
      <c r="E985" s="48"/>
      <c r="F985" s="48"/>
    </row>
    <row r="986">
      <c r="A986" s="48"/>
      <c r="C986" s="1"/>
      <c r="D986" s="48"/>
      <c r="E986" s="48"/>
      <c r="F986" s="48"/>
    </row>
    <row r="987">
      <c r="A987" s="48"/>
      <c r="C987" s="1"/>
      <c r="D987" s="48"/>
      <c r="E987" s="48"/>
      <c r="F987" s="48"/>
    </row>
    <row r="988">
      <c r="A988" s="48"/>
      <c r="C988" s="1"/>
      <c r="D988" s="48"/>
      <c r="E988" s="48"/>
      <c r="F988" s="48"/>
    </row>
    <row r="989">
      <c r="A989" s="48"/>
      <c r="C989" s="1"/>
      <c r="D989" s="48"/>
      <c r="E989" s="48"/>
      <c r="F989" s="48"/>
    </row>
    <row r="990">
      <c r="A990" s="48"/>
      <c r="C990" s="1"/>
      <c r="D990" s="48"/>
      <c r="E990" s="48"/>
      <c r="F990" s="48"/>
    </row>
    <row r="991">
      <c r="A991" s="48"/>
      <c r="C991" s="1"/>
      <c r="D991" s="48"/>
      <c r="E991" s="48"/>
      <c r="F991" s="48"/>
    </row>
    <row r="992">
      <c r="A992" s="48"/>
      <c r="C992" s="1"/>
      <c r="D992" s="48"/>
      <c r="E992" s="48"/>
      <c r="F992" s="48"/>
    </row>
    <row r="993">
      <c r="A993" s="48"/>
      <c r="C993" s="1"/>
      <c r="D993" s="48"/>
      <c r="E993" s="48"/>
      <c r="F993" s="48"/>
    </row>
    <row r="994">
      <c r="A994" s="48"/>
      <c r="C994" s="1"/>
      <c r="D994" s="48"/>
      <c r="E994" s="48"/>
      <c r="F994" s="48"/>
    </row>
    <row r="995">
      <c r="A995" s="48"/>
      <c r="C995" s="1"/>
      <c r="D995" s="48"/>
      <c r="E995" s="48"/>
      <c r="F995" s="48"/>
    </row>
    <row r="996">
      <c r="A996" s="48"/>
      <c r="C996" s="1"/>
      <c r="D996" s="48"/>
      <c r="E996" s="48"/>
      <c r="F996" s="48"/>
    </row>
    <row r="997">
      <c r="A997" s="48"/>
      <c r="C997" s="1"/>
      <c r="D997" s="48"/>
      <c r="E997" s="48"/>
      <c r="F997" s="48"/>
    </row>
    <row r="998">
      <c r="A998" s="48"/>
      <c r="C998" s="1"/>
      <c r="D998" s="48"/>
      <c r="E998" s="48"/>
      <c r="F998" s="48"/>
    </row>
    <row r="999">
      <c r="A999" s="48"/>
      <c r="C999" s="1"/>
      <c r="D999" s="48"/>
      <c r="E999" s="48"/>
      <c r="F999" s="48"/>
    </row>
  </sheetData>
  <dataValidations>
    <dataValidation type="custom" allowBlank="1" showDropDown="1" sqref="F2:F67">
      <formula1>OR(NOT(ISERROR(DATEVALUE(F2))), AND(ISNUMBER(F2), LEFT(CELL("format", F2))="D"))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0"/>
    <col customWidth="1" min="4" max="5" width="25.63"/>
    <col customWidth="1" min="6" max="6" width="25.13"/>
  </cols>
  <sheetData>
    <row r="1" ht="22.5" customHeight="1">
      <c r="A1" s="9" t="s">
        <v>9</v>
      </c>
      <c r="B1" s="9" t="s">
        <v>10</v>
      </c>
      <c r="C1" s="9" t="s">
        <v>13</v>
      </c>
      <c r="D1" s="61" t="s">
        <v>516</v>
      </c>
      <c r="E1" s="9" t="s">
        <v>520</v>
      </c>
      <c r="F1" s="9" t="s">
        <v>24</v>
      </c>
    </row>
    <row r="2">
      <c r="A2" s="62" t="s">
        <v>523</v>
      </c>
      <c r="B2" s="46" t="s">
        <v>525</v>
      </c>
      <c r="C2" s="62" t="s">
        <v>526</v>
      </c>
      <c r="D2" s="46" t="s">
        <v>527</v>
      </c>
    </row>
    <row r="3">
      <c r="A3" s="62" t="s">
        <v>523</v>
      </c>
      <c r="B3" s="46" t="s">
        <v>525</v>
      </c>
      <c r="C3" s="62" t="s">
        <v>526</v>
      </c>
      <c r="D3" s="46" t="s">
        <v>528</v>
      </c>
      <c r="F3" s="46" t="s">
        <v>529</v>
      </c>
    </row>
    <row r="4">
      <c r="A4" s="62" t="s">
        <v>523</v>
      </c>
      <c r="B4" s="46" t="s">
        <v>525</v>
      </c>
      <c r="C4" s="62" t="s">
        <v>530</v>
      </c>
      <c r="D4" s="46" t="s">
        <v>531</v>
      </c>
      <c r="F4" s="46" t="s">
        <v>532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